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fredquenum/Documents/Web-Scraped Market Analytics Dashboard/"/>
    </mc:Choice>
  </mc:AlternateContent>
  <xr:revisionPtr revIDLastSave="0" documentId="13_ncr:1_{CEFBB15A-FE6E-9345-B203-93CC40D95B3E}" xr6:coauthVersionLast="47" xr6:coauthVersionMax="47" xr10:uidLastSave="{00000000-0000-0000-0000-000000000000}"/>
  <bookViews>
    <workbookView xWindow="0" yWindow="660" windowWidth="30240" windowHeight="18980" xr2:uid="{A3EC3E58-A613-7C40-B9E5-A5EFB24BD558}"/>
  </bookViews>
  <sheets>
    <sheet name="Dashboard" sheetId="1" r:id="rId1"/>
    <sheet name="Market_Data" sheetId="2" r:id="rId2"/>
    <sheet name="Raw_Web_Data" sheetId="3" r:id="rId3"/>
    <sheet name="Reports" sheetId="4" r:id="rId4"/>
  </sheets>
  <definedNames>
    <definedName name="_xleta.NOW" hidden="1" xlm="1">#NAME?</definedName>
    <definedName name="ExternalData_1" localSheetId="2">Raw_Web_Data!$AS$1:$BA$119</definedName>
    <definedName name="ExternalData_10" localSheetId="2">Raw_Web_Data!$AG$100</definedName>
    <definedName name="ExternalData_11" localSheetId="2">Raw_Web_Data!$AG$1:$AO$119</definedName>
    <definedName name="ExternalData_12" localSheetId="2">Raw_Web_Data!$AC$50:$AF$56</definedName>
    <definedName name="ExternalData_13" localSheetId="2">Raw_Web_Data!$AC$100</definedName>
    <definedName name="ExternalData_14" localSheetId="2">Raw_Web_Data!$AC$1:$AK$119</definedName>
    <definedName name="ExternalData_15" localSheetId="2">Raw_Web_Data!$Y$50:$AB$56</definedName>
    <definedName name="ExternalData_16" localSheetId="2">Raw_Web_Data!$Y$100</definedName>
    <definedName name="ExternalData_17" localSheetId="2">Raw_Web_Data!$Y$1:$AG$119</definedName>
    <definedName name="ExternalData_18" localSheetId="2">Raw_Web_Data!$U$50:$X$56</definedName>
    <definedName name="ExternalData_19" localSheetId="2">Raw_Web_Data!$U$100</definedName>
    <definedName name="ExternalData_2" localSheetId="2">Raw_Web_Data!$AO$50:$AR$56</definedName>
    <definedName name="ExternalData_20" localSheetId="2">Raw_Web_Data!$U$1:$AC$119</definedName>
    <definedName name="ExternalData_21" localSheetId="2">Raw_Web_Data!$Q$50:$T$56</definedName>
    <definedName name="ExternalData_22" localSheetId="2">Raw_Web_Data!$Q$100</definedName>
    <definedName name="ExternalData_23" localSheetId="2">Raw_Web_Data!$Q$1:$Y$119</definedName>
    <definedName name="ExternalData_24" localSheetId="2">Raw_Web_Data!$M$50:$P$56</definedName>
    <definedName name="ExternalData_26" localSheetId="2">Raw_Web_Data!$M$1:$U$119</definedName>
    <definedName name="ExternalData_27" localSheetId="2">Raw_Web_Data!$I$50:$L$56</definedName>
    <definedName name="ExternalData_28" localSheetId="2">Raw_Web_Data!$I$100</definedName>
    <definedName name="ExternalData_29" localSheetId="2">Raw_Web_Data!$I$1:$Q$119</definedName>
    <definedName name="ExternalData_3" localSheetId="2">Raw_Web_Data!$AO$100</definedName>
    <definedName name="ExternalData_30" localSheetId="2">Raw_Web_Data!$E$50:$H$56</definedName>
    <definedName name="ExternalData_31" localSheetId="2">Raw_Web_Data!$E$100</definedName>
    <definedName name="ExternalData_32" localSheetId="2">Raw_Web_Data!$E$1:$M$119</definedName>
    <definedName name="ExternalData_33" localSheetId="2">Raw_Web_Data!$A$50:$D$56</definedName>
    <definedName name="ExternalData_34" localSheetId="2">Raw_Web_Data!$A$100</definedName>
    <definedName name="ExternalData_4" localSheetId="2">Raw_Web_Data!$AO$1:$AW$119</definedName>
    <definedName name="ExternalData_5" localSheetId="2">Raw_Web_Data!$AO$1:$AW$119</definedName>
    <definedName name="ExternalData_6" localSheetId="2">Raw_Web_Data!$AK$50:$AN$56</definedName>
    <definedName name="ExternalData_7" localSheetId="2">Raw_Web_Data!$AK$100</definedName>
    <definedName name="ExternalData_8" localSheetId="2">Raw_Web_Data!$AK$1:$AS$119</definedName>
    <definedName name="ExternalData_9" localSheetId="2">Raw_Web_Data!$AG$50:$AJ$56</definedName>
    <definedName name="_xlnm.Print_Area" localSheetId="0">Dashboard!$A$2:$K$26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24A5B6-52BD-5546-A441-8B9A2B4ED273}" name="Connection" type="4" refreshedVersion="8" saveData="1">
    <webPr xl2000="1" url="https://tradingeconomics.com/commodity/lithium" htmlTables="1" htmlFormat="all"/>
  </connection>
  <connection id="2" xr16:uid="{A477C2B6-5375-8542-9FD6-9EDCAED491C6}" name="Connection1" type="4" refreshedVersion="8" saveData="1">
    <webPr xl2000="1" url="https://www.marketwatch.com/investing/future/nickel" htmlTables="1" htmlFormat="all"/>
  </connection>
  <connection id="3" xr16:uid="{4D6432B1-67FF-C649-B108-2639CB6384B6}" name="Connection10" type="4" refreshedVersion="8" saveData="1">
    <webPr xl2000="1" url="https://tradingeconomics.com/commodity/lithium" htmlTables="1" htmlFormat="all"/>
  </connection>
  <connection id="4" xr16:uid="{A292916D-8E8C-4445-B07D-EA84D7C247C0}" name="Connection11" type="4" refreshedVersion="8" saveData="1">
    <webPr xl2000="1" url="https://www.marketwatch.com/investing/future/nickel" htmlTables="1" htmlFormat="all"/>
  </connection>
  <connection id="5" xr16:uid="{2D1E695E-5BF7-E745-95E7-0F689B947450}" name="Connection12" type="4" refreshedVersion="8" saveData="1">
    <webPr xl2000="1" url="https://www.mining.com" htmlTables="1" htmlFormat="all"/>
  </connection>
  <connection id="6" xr16:uid="{50918DD2-CC73-A340-8A3C-E43DD688C4E2}" name="Connection13" type="4" refreshedVersion="8" saveData="1">
    <webPr xl2000="1" url="https://tradingeconomics.com/commodity/lithium" htmlTables="1" htmlFormat="all"/>
  </connection>
  <connection id="7" xr16:uid="{BA3227C5-5F07-4949-9924-30E6E1F6834F}" name="Connection14" type="4" refreshedVersion="8" saveData="1">
    <webPr xl2000="1" url="https://www.marketwatch.com/investing/future/nickel" htmlTables="1" htmlFormat="all"/>
  </connection>
  <connection id="8" xr16:uid="{029AC585-8A93-CC4C-9019-7B1D65A1763C}" name="Connection15" type="4" refreshedVersion="8" saveData="1">
    <webPr xl2000="1" url="https://www.mining.com" htmlTables="1" htmlFormat="all"/>
  </connection>
  <connection id="9" xr16:uid="{0A1EA730-C7DD-6141-A7F3-0DDBF6AFA4C3}" name="Connection16" type="4" refreshedVersion="8" saveData="1">
    <webPr xl2000="1" url="https://tradingeconomics.com/commodity/lithium" htmlTables="1" htmlFormat="all"/>
  </connection>
  <connection id="10" xr16:uid="{988CA051-E63A-194B-883D-451100C23783}" name="Connection17" type="4" refreshedVersion="8" saveData="1">
    <webPr xl2000="1" url="https://www.marketwatch.com/investing/future/nickel" htmlTables="1" htmlFormat="all"/>
  </connection>
  <connection id="11" xr16:uid="{24AAFCC4-6D87-9945-B6E7-91B65D33C7DC}" name="Connection18" type="4" refreshedVersion="8" saveData="1">
    <webPr xl2000="1" url="https://www.mining.com" htmlTables="1" htmlFormat="all"/>
  </connection>
  <connection id="12" xr16:uid="{C0B7BDD5-1FA9-D341-9393-27DD0F3CA3FF}" name="Connection19" type="4" refreshedVersion="8" saveData="1">
    <webPr xl2000="1" url="https://tradingeconomics.com/commodity/lithium" htmlTables="1" htmlFormat="all"/>
  </connection>
  <connection id="13" xr16:uid="{73809DF9-7440-384A-827A-DA3D3BC1502B}" name="Connection2" type="4" refreshedVersion="8" saveData="1">
    <webPr xl2000="1" url="https://www.mining.com" htmlTables="1" htmlFormat="all"/>
  </connection>
  <connection id="14" xr16:uid="{1267DE53-E98B-EC45-81EA-F7FB38398975}" name="Connection20" type="4" refreshedVersion="8" saveData="1">
    <webPr xl2000="1" url="https://www.marketwatch.com/investing/future/nickel" htmlTables="1" htmlFormat="all"/>
  </connection>
  <connection id="15" xr16:uid="{2E562EB2-BFE0-7345-8393-9A1FEBBEC1D6}" name="Connection21" type="4" refreshedVersion="8" saveData="1">
    <webPr xl2000="1" url="https://www.mining.com" htmlTables="1" htmlFormat="all"/>
  </connection>
  <connection id="16" xr16:uid="{CAA4E19A-C5C9-AD44-AF66-B04B8532B087}" name="Connection22" type="4" refreshedVersion="8" saveData="1">
    <webPr xl2000="1" url="https://tradingeconomics.com/commodity/lithium" htmlTables="1" htmlFormat="all"/>
  </connection>
  <connection id="17" xr16:uid="{651392B2-9205-1047-A56D-62B53B7BEEB0}" name="Connection23" type="4" refreshedVersion="8" saveData="1">
    <webPr xl2000="1" url="https://www.marketwatch.com/investing/future/nickel" htmlTables="1" htmlFormat="all"/>
  </connection>
  <connection id="18" xr16:uid="{54C0546F-934A-744A-8067-A33B1119866E}" name="Connection25" type="4" refreshedVersion="8" saveData="1">
    <webPr xl2000="1" url="https://tradingeconomics.com/commodity/lithium" htmlTables="1" htmlFormat="all"/>
  </connection>
  <connection id="19" xr16:uid="{AEB536D2-C92D-4647-9FFA-1EEB3D26C8A4}" name="Connection26" type="4" refreshedVersion="8" saveData="1">
    <webPr xl2000="1" url="https://www.marketwatch.com/investing/future/nickel" htmlTables="1" htmlFormat="all"/>
  </connection>
  <connection id="20" xr16:uid="{0C213165-408B-5B42-A07A-92A1384011A5}" name="Connection27" type="4" refreshedVersion="8" saveData="1">
    <webPr xl2000="1" url="https://www.mining.com" htmlTables="1" htmlFormat="all"/>
  </connection>
  <connection id="21" xr16:uid="{E2B60A2E-41FA-3546-9D50-A06770279C51}" name="Connection28" type="4" refreshedVersion="8" saveData="1">
    <webPr xl2000="1" url="https://tradingeconomics.com/commodity/lithium" htmlTables="1" htmlFormat="all"/>
  </connection>
  <connection id="22" xr16:uid="{CB32BBA3-54F8-D34C-B949-418B1CD829BD}" name="Connection29" type="4" refreshedVersion="8" saveData="1">
    <webPr xl2000="1" url="https://www.marketwatch.com/investing/future/nickel" htmlTables="1" htmlFormat="all"/>
  </connection>
  <connection id="23" xr16:uid="{2B6D13AE-9F02-D843-AD9A-5F482C5CED31}" name="Connection3" type="4" refreshedVersion="8" saveData="1">
    <webPr xl2000="1" url="https://tradingeconomics.com/commodity/lithium" htmlTables="1" htmlFormat="all"/>
  </connection>
  <connection id="24" xr16:uid="{3485031C-9B88-FA40-86C3-036EE34AF099}" name="Connection30" type="4" refreshedVersion="8" saveData="1">
    <webPr xl2000="1" url="https://www.mining.com" htmlTables="1" htmlFormat="all"/>
  </connection>
  <connection id="25" xr16:uid="{160364D6-368C-184B-972E-4DB6F09F8E87}" name="Connection31" type="4" refreshedVersion="8" saveData="1">
    <webPr xl2000="1" url="https://tradingeconomics.com/commodity/lithium" htmlTables="1" htmlFormat="all"/>
  </connection>
  <connection id="26" xr16:uid="{34520E72-BE3B-F54B-80FA-A1382C862726}" name="Connection32" type="4" refreshedVersion="8" saveData="1">
    <webPr xl2000="1" url="https://www.marketwatch.com/investing/future/nickel" htmlTables="1" htmlFormat="all"/>
  </connection>
  <connection id="27" xr16:uid="{6D81A813-677C-8E41-AD2B-006C913FD2B1}" name="Connection33" type="4" refreshedVersion="8" saveData="1">
    <webPr xl2000="1" url="https://www.mining.com" htmlTables="1" htmlFormat="all"/>
  </connection>
  <connection id="28" xr16:uid="{D3988DE1-8FCE-194C-B494-D88C2B90A91D}" name="Connection4" type="4" refreshedVersion="8" saveData="1">
    <webPr xl2000="1" url="https://tradingeconomics.com/commodity/lithium" htmlTables="1" htmlFormat="all"/>
  </connection>
  <connection id="29" xr16:uid="{23773B4A-8604-4F4E-9A18-8055C7897568}" name="Connection5" type="4" refreshedVersion="8" saveData="1">
    <webPr xl2000="1" url="https://www.marketwatch.com/investing/future/nickel" htmlTables="1" htmlFormat="all"/>
  </connection>
  <connection id="30" xr16:uid="{25F00EFD-4D69-4D4D-9B0E-98DB2F14C19A}" name="Connection6" type="4" refreshedVersion="8" saveData="1">
    <webPr xl2000="1" url="https://www.mining.com" htmlTables="1" htmlFormat="all"/>
  </connection>
  <connection id="31" xr16:uid="{8F9E3A7E-58B5-2445-8875-5AF11768BFF3}" name="Connection7" type="4" refreshedVersion="8" saveData="1">
    <webPr xl2000="1" url="https://tradingeconomics.com/commodity/lithium" htmlTables="1" htmlFormat="all"/>
  </connection>
  <connection id="32" xr16:uid="{8B9D3F0F-BC1F-514D-9DDB-4A4BCD67AFE9}" name="Connection8" type="4" refreshedVersion="8" saveData="1">
    <webPr xl2000="1" url="https://www.marketwatch.com/investing/future/nickel" htmlTables="1" htmlFormat="all"/>
  </connection>
  <connection id="33" xr16:uid="{72770114-770E-9B4B-B8DE-EAE55E3657CE}" name="Connection9" type="4" refreshedVersion="8" saveData="1">
    <webPr xl2000="1" url="https://www.mining.com" htmlTables="1" htmlFormat="all"/>
  </connection>
</connections>
</file>

<file path=xl/sharedStrings.xml><?xml version="1.0" encoding="utf-8"?>
<sst xmlns="http://schemas.openxmlformats.org/spreadsheetml/2006/main" count="159" uniqueCount="125">
  <si>
    <t>Price</t>
  </si>
  <si>
    <t>Day</t>
  </si>
  <si>
    <t>Month</t>
  </si>
  <si>
    <t>Year</t>
  </si>
  <si>
    <t>Date</t>
  </si>
  <si>
    <t xml:space="preserve">Gold </t>
  </si>
  <si>
    <t xml:space="preserve">Silver </t>
  </si>
  <si>
    <t xml:space="preserve">Copper </t>
  </si>
  <si>
    <t xml:space="preserve">Steel </t>
  </si>
  <si>
    <t xml:space="preserve">Lithium </t>
  </si>
  <si>
    <t xml:space="preserve">Platinum </t>
  </si>
  <si>
    <t xml:space="preserve">Iron Ore </t>
  </si>
  <si>
    <t>Actual</t>
  </si>
  <si>
    <t>Previous</t>
  </si>
  <si>
    <t>Highest</t>
  </si>
  <si>
    <t>Lowest</t>
  </si>
  <si>
    <t>Dates</t>
  </si>
  <si>
    <t>Unit</t>
  </si>
  <si>
    <t>Frequency</t>
  </si>
  <si>
    <t>2017 - 2026</t>
  </si>
  <si>
    <t>CNY/T</t>
  </si>
  <si>
    <t>Daily</t>
  </si>
  <si>
    <t>Chg</t>
  </si>
  <si>
    <t>%Chg</t>
  </si>
  <si>
    <t>Crude Oil</t>
  </si>
  <si>
    <t>Brent</t>
  </si>
  <si>
    <t>Natural gas</t>
  </si>
  <si>
    <t>Gasoline</t>
  </si>
  <si>
    <t>Heating Oil</t>
  </si>
  <si>
    <t>Gold</t>
  </si>
  <si>
    <t>Silver</t>
  </si>
  <si>
    <t>Copper</t>
  </si>
  <si>
    <t>Soybeans</t>
  </si>
  <si>
    <t>Wheat</t>
  </si>
  <si>
    <t>Coal</t>
  </si>
  <si>
    <t>Steel</t>
  </si>
  <si>
    <t>TTF Gas</t>
  </si>
  <si>
    <t>Lumber</t>
  </si>
  <si>
    <t>Iron Ore CNY</t>
  </si>
  <si>
    <t>More</t>
  </si>
  <si>
    <t>Add to your site</t>
  </si>
  <si>
    <t>EURUSD</t>
  </si>
  <si>
    <t>GBPUSD</t>
  </si>
  <si>
    <t>AUDUSD</t>
  </si>
  <si>
    <t>NZDUSD</t>
  </si>
  <si>
    <t>USDJPY</t>
  </si>
  <si>
    <t>USDCNY</t>
  </si>
  <si>
    <t>USDCHF</t>
  </si>
  <si>
    <t>USDCAD</t>
  </si>
  <si>
    <t>USDMXN</t>
  </si>
  <si>
    <t>USDINR</t>
  </si>
  <si>
    <t>USDBRL</t>
  </si>
  <si>
    <t>USDRUB</t>
  </si>
  <si>
    <t>USDKRW</t>
  </si>
  <si>
    <t>DXY</t>
  </si>
  <si>
    <t>USDTRY</t>
  </si>
  <si>
    <t>US500</t>
  </si>
  <si>
    <t>US30</t>
  </si>
  <si>
    <t>US100</t>
  </si>
  <si>
    <t>JP225</t>
  </si>
  <si>
    <t>GB100</t>
  </si>
  <si>
    <t>DE40</t>
  </si>
  <si>
    <t>FR40</t>
  </si>
  <si>
    <t>IT40</t>
  </si>
  <si>
    <t>ES35</t>
  </si>
  <si>
    <t>ASX200</t>
  </si>
  <si>
    <t>SHANGHAI</t>
  </si>
  <si>
    <t>SENSEX</t>
  </si>
  <si>
    <t>TSX</t>
  </si>
  <si>
    <t>MOEX</t>
  </si>
  <si>
    <t>IBOVESPA</t>
  </si>
  <si>
    <t>Apple</t>
  </si>
  <si>
    <t>Tesla</t>
  </si>
  <si>
    <t>Microsoft</t>
  </si>
  <si>
    <t>Amazon</t>
  </si>
  <si>
    <t>Meta</t>
  </si>
  <si>
    <t>Nvidia</t>
  </si>
  <si>
    <t>Visa</t>
  </si>
  <si>
    <t>JPMorgan</t>
  </si>
  <si>
    <t>Oracle</t>
  </si>
  <si>
    <t>J&amp;J</t>
  </si>
  <si>
    <t>P&amp;G</t>
  </si>
  <si>
    <t>Exxon Mobil</t>
  </si>
  <si>
    <t>Alphabet</t>
  </si>
  <si>
    <t>Goldman Sachs</t>
  </si>
  <si>
    <t>Caterpillar</t>
  </si>
  <si>
    <t xml:space="preserve">United States </t>
  </si>
  <si>
    <t xml:space="preserve">United Kingdom </t>
  </si>
  <si>
    <t xml:space="preserve">Japan </t>
  </si>
  <si>
    <t xml:space="preserve">Australia </t>
  </si>
  <si>
    <t xml:space="preserve">Germany </t>
  </si>
  <si>
    <t xml:space="preserve">Brazil </t>
  </si>
  <si>
    <t xml:space="preserve">Russia </t>
  </si>
  <si>
    <t xml:space="preserve">India </t>
  </si>
  <si>
    <t xml:space="preserve">Canada </t>
  </si>
  <si>
    <t xml:space="preserve">Italy </t>
  </si>
  <si>
    <t xml:space="preserve">France </t>
  </si>
  <si>
    <t xml:space="preserve">South Africa </t>
  </si>
  <si>
    <t xml:space="preserve">China </t>
  </si>
  <si>
    <t xml:space="preserve">Switzerland </t>
  </si>
  <si>
    <t xml:space="preserve">Chile </t>
  </si>
  <si>
    <t>Bitcoin</t>
  </si>
  <si>
    <t>Ether</t>
  </si>
  <si>
    <t>Binance</t>
  </si>
  <si>
    <t>Cardano</t>
  </si>
  <si>
    <t>Solana</t>
  </si>
  <si>
    <t>Ripple</t>
  </si>
  <si>
    <t>Polkadot</t>
  </si>
  <si>
    <t>Avalanche</t>
  </si>
  <si>
    <t>Polygon</t>
  </si>
  <si>
    <t>Cosmos</t>
  </si>
  <si>
    <t>Dai</t>
  </si>
  <si>
    <t>Litecoin</t>
  </si>
  <si>
    <t>Uniswap</t>
  </si>
  <si>
    <t>Algorand</t>
  </si>
  <si>
    <t>Bitcoin Cash</t>
  </si>
  <si>
    <t>Symbol</t>
  </si>
  <si>
    <t>Change</t>
  </si>
  <si>
    <t>% Chg</t>
  </si>
  <si>
    <t xml:space="preserve"> Commodity</t>
  </si>
  <si>
    <t xml:space="preserve"> Price</t>
  </si>
  <si>
    <t>Lithium</t>
  </si>
  <si>
    <t>Global Commodity Market Prices</t>
  </si>
  <si>
    <t>Commodity Market Intelligence Dashboard</t>
  </si>
  <si>
    <t>Last Updated: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</si>
</sst>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&quot;$&quot;#,##0.00"/>
  </numFmts>
  <fonts count="10" x14ac:knownFonts="1">
    <font>
      <sz val="12"/>
      <color theme="1"/>
      <name val="Aptos Narrow"/>
      <family val="2"/>
      <scheme val="minor"/>
    </font>
    <font>
      <sz val="12"/>
      <color theme="1"/>
      <name val="Helvetica Neue"/>
      <family val="2"/>
    </font>
    <font>
      <sz val="15"/>
      <color rgb="FF333333"/>
      <name val="Helvetica Neue"/>
      <family val="2"/>
    </font>
    <font>
      <sz val="10"/>
      <color rgb="FF8B0000"/>
      <name val="Helvetica Neue"/>
      <family val="2"/>
    </font>
    <font>
      <u/>
      <sz val="12"/>
      <color theme="10"/>
      <name val="Aptos Narrow"/>
      <family val="2"/>
      <scheme val="minor"/>
    </font>
    <font>
      <sz val="12"/>
      <color rgb="FF6A6A6A"/>
      <name val="Arial"/>
      <family val="2"/>
    </font>
    <font>
      <sz val="10"/>
      <color rgb="FF008000"/>
      <name val="Helvetica Neue"/>
      <family val="2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b/>
      <sz val="22"/>
      <color theme="1"/>
      <name val="Aptos Narrow (Body)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E1E1E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4" fillId="2" borderId="0" xfId="1" applyFill="1" applyAlignment="1">
      <alignment vertical="center" wrapText="1"/>
    </xf>
    <xf numFmtId="4" fontId="1" fillId="2" borderId="0" xfId="0" applyNumberFormat="1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10" fontId="1" fillId="2" borderId="0" xfId="0" applyNumberFormat="1" applyFont="1" applyFill="1" applyAlignment="1">
      <alignment horizontal="center" vertical="center" wrapText="1"/>
    </xf>
    <xf numFmtId="16" fontId="1" fillId="2" borderId="0" xfId="0" applyNumberFormat="1" applyFont="1" applyFill="1" applyAlignment="1">
      <alignment horizontal="center" vertical="center" wrapText="1"/>
    </xf>
    <xf numFmtId="0" fontId="2" fillId="3" borderId="0" xfId="0" applyFont="1" applyFill="1" applyAlignment="1">
      <alignment horizontal="left" vertical="center" wrapText="1"/>
    </xf>
    <xf numFmtId="0" fontId="4" fillId="2" borderId="0" xfId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10" fontId="1" fillId="2" borderId="0" xfId="0" applyNumberFormat="1" applyFont="1" applyFill="1" applyAlignment="1">
      <alignment vertical="center"/>
    </xf>
    <xf numFmtId="0" fontId="4" fillId="2" borderId="0" xfId="1" applyFill="1" applyAlignment="1">
      <alignment horizontal="left" vertical="center" wrapText="1"/>
    </xf>
    <xf numFmtId="0" fontId="4" fillId="2" borderId="0" xfId="1" applyFill="1" applyAlignment="1">
      <alignment vertical="center" wrapText="1"/>
    </xf>
    <xf numFmtId="0" fontId="3" fillId="2" borderId="0" xfId="0" applyFont="1" applyFill="1" applyAlignment="1">
      <alignment vertical="center"/>
    </xf>
    <xf numFmtId="3" fontId="1" fillId="2" borderId="0" xfId="0" applyNumberFormat="1" applyFont="1" applyFill="1" applyAlignment="1">
      <alignment horizontal="left" vertical="center"/>
    </xf>
    <xf numFmtId="0" fontId="5" fillId="0" borderId="1" xfId="0" applyFont="1" applyBorder="1" applyAlignment="1">
      <alignment horizontal="right" wrapText="1"/>
    </xf>
    <xf numFmtId="0" fontId="6" fillId="2" borderId="0" xfId="0" applyFont="1" applyFill="1" applyAlignment="1">
      <alignment vertical="center"/>
    </xf>
    <xf numFmtId="168" fontId="0" fillId="0" borderId="0" xfId="0" applyNumberFormat="1" applyAlignment="1">
      <alignment horizontal="left"/>
    </xf>
    <xf numFmtId="168" fontId="7" fillId="0" borderId="0" xfId="0" applyNumberFormat="1" applyFont="1" applyAlignment="1">
      <alignment horizontal="left"/>
    </xf>
    <xf numFmtId="168" fontId="0" fillId="0" borderId="0" xfId="0" applyNumberFormat="1"/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2" fontId="0" fillId="0" borderId="0" xfId="0" applyNumberFormat="1"/>
  </cellXfs>
  <cellStyles count="2">
    <cellStyle name="Hyperlink" xfId="1" builtinId="8"/>
    <cellStyle name="Normal" xfId="0" builtinId="0"/>
  </cellStyles>
  <dxfs count="1">
    <dxf>
      <font>
        <b/>
      </font>
      <numFmt numFmtId="168" formatCode="&quot;$&quot;#,##0.00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/>
              <a:t>Commodity Price Monitoring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Market_Data!$B$2</c:f>
              <c:strCache>
                <c:ptCount val="1"/>
                <c:pt idx="0">
                  <c:v> Price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Market_Data!$A$3:$A$6</c:f>
              <c:strCache>
                <c:ptCount val="4"/>
                <c:pt idx="0">
                  <c:v>Lithium</c:v>
                </c:pt>
                <c:pt idx="1">
                  <c:v>Gold</c:v>
                </c:pt>
                <c:pt idx="2">
                  <c:v>Silver</c:v>
                </c:pt>
                <c:pt idx="3">
                  <c:v>Copper</c:v>
                </c:pt>
              </c:strCache>
            </c:strRef>
          </c:cat>
          <c:val>
            <c:numRef>
              <c:f>Market_Data!$B$3:$B$6</c:f>
              <c:numCache>
                <c:formatCode>"$"#,##0.00</c:formatCode>
                <c:ptCount val="4"/>
                <c:pt idx="0">
                  <c:v>158000</c:v>
                </c:pt>
                <c:pt idx="1">
                  <c:v>5098.7700000000004</c:v>
                </c:pt>
                <c:pt idx="2">
                  <c:v>84</c:v>
                </c:pt>
                <c:pt idx="3">
                  <c:v>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2-2F4D-972A-B282B81A6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8671359"/>
        <c:axId val="1878675839"/>
      </c:barChart>
      <c:catAx>
        <c:axId val="1878671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78675839"/>
        <c:crosses val="autoZero"/>
        <c:auto val="1"/>
        <c:lblAlgn val="ctr"/>
        <c:lblOffset val="100"/>
        <c:noMultiLvlLbl val="0"/>
      </c:catAx>
      <c:valAx>
        <c:axId val="1878675839"/>
        <c:scaling>
          <c:logBase val="10"/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&quot;$&quot;#,##0.00" sourceLinked="1"/>
        <c:majorTickMark val="out"/>
        <c:minorTickMark val="none"/>
        <c:tickLblPos val="nextTo"/>
        <c:crossAx val="18786713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57728</xdr:colOff>
      <xdr:row>4</xdr:row>
      <xdr:rowOff>115454</xdr:rowOff>
    </xdr:from>
    <xdr:to>
      <xdr:col>14</xdr:col>
      <xdr:colOff>161637</xdr:colOff>
      <xdr:row>27</xdr:row>
      <xdr:rowOff>6928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DE64728-33BB-ACEE-4BDB-1DDEC1C5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backgroundRefresh="0" connectionId="27" xr16:uid="{115882F0-84AA-7F49-9AF5-2C63BC60803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backgroundRefresh="0" connectionId="26" xr16:uid="{7B9CFA0E-5136-CE48-AA01-2149B2FC46B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backgroundRefresh="0" connectionId="25" xr16:uid="{B93AAC5C-0240-7649-8646-AE12AEDE6CA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backgroundRefresh="0" connectionId="24" xr16:uid="{0C61429F-D276-7842-A1A9-A0D5AA545C78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backgroundRefresh="0" connectionId="22" xr16:uid="{B94ABF4D-326A-8140-9662-2487CCEEFD3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backgroundRefresh="0" connectionId="21" xr16:uid="{1D84C5FE-ED5B-B948-B048-28A0FF7B532B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connectionId="20" xr16:uid="{7F4A4B2F-25F7-9E4E-B594-C088FB11DE16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connectionId="19" xr16:uid="{0AF8E53E-796B-C246-8B0C-E94D8B306E27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connectionId="18" xr16:uid="{521B3163-E26E-4C49-8653-A06596698FEF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connectionId="17" xr16:uid="{927091A0-4F5F-8847-90C4-9C270939AED9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connectionId="16" xr16:uid="{12DB96C5-3772-CD44-8098-D72F750A2026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connectionId="15" xr16:uid="{68C498D4-860C-FC47-BB4E-179B305D44B2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connectionId="14" xr16:uid="{20BD28E1-1E9B-4A48-B20F-EBF587A4FAC5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connectionId="12" xr16:uid="{381A149F-B20C-1C4D-892E-B4CA2E4E35D9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connectionId="11" xr16:uid="{16ACE651-8909-BE4A-8B6E-0D80108E2F46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connectionId="10" xr16:uid="{A4FB809B-7FE4-2242-B30A-F11E075BA841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connectionId="9" xr16:uid="{88FB9E73-4EA2-D448-BF70-5AB31DEAF585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connectionId="8" xr16:uid="{1F98665A-D851-B046-9FB0-8F45F2BD97A2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connectionId="7" xr16:uid="{D35DC97A-75F0-984B-B597-3358FBA8F9AE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connectionId="6" xr16:uid="{782408D3-647A-F047-AACE-D2674CE79DFC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connectionId="5" xr16:uid="{86D414D2-D916-2348-8DE3-4FFB8771CF35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4" xr16:uid="{65C5F24E-CCB1-0941-83A6-6FB1D667150E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connectionId="3" xr16:uid="{F9B586AF-4F91-8B41-8B77-4C3F12EFD0A1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connectionId="33" xr16:uid="{3DE39479-7A77-5941-93CA-3FD101256004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connectionId="32" xr16:uid="{1781899B-DCA2-B149-8417-CDE50CE35725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31" xr16:uid="{7EB2D1CF-384D-0D46-8A4F-D10D884D7EAB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30" xr16:uid="{69BCA49D-3599-EA43-8514-2652CD235664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29" xr16:uid="{D0A0C391-08A6-3042-B4A1-832AD6F02E5C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8" xr16:uid="{A450339A-6B7D-5243-8267-C752A93F6718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23" xr16:uid="{72522A79-03A7-6A43-A606-E968E995C923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3" xr16:uid="{D01E8CC4-704A-3D43-A58F-5563B204792E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75264B62-3D0D-DE4D-B74E-3446A20299BB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14B69F2-AF31-B742-BE03-25E42B7B0343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7910AD-178A-F145-BBB9-1EB1A91A926F}" name="CommodityPrices" displayName="CommodityPrices" ref="A2:B6" totalsRowShown="0">
  <autoFilter ref="A2:B6" xr:uid="{1C7910AD-178A-F145-BBB9-1EB1A91A926F}"/>
  <tableColumns count="2">
    <tableColumn id="1" xr3:uid="{C511327C-AA4E-3F49-ACED-02FFFB671BC6}" name=" Commodity"/>
    <tableColumn id="2" xr3:uid="{CA1F948C-F2D5-A44A-9562-EA535BA901D6}" name=" Pri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.xml"/><Relationship Id="rId21" Type="http://schemas.openxmlformats.org/officeDocument/2006/relationships/hyperlink" Target="file:///commodity/lumber" TargetMode="External"/><Relationship Id="rId42" Type="http://schemas.openxmlformats.org/officeDocument/2006/relationships/hyperlink" Target="file:///united-states/stock-market" TargetMode="External"/><Relationship Id="rId63" Type="http://schemas.openxmlformats.org/officeDocument/2006/relationships/hyperlink" Target="file:///fb:us" TargetMode="External"/><Relationship Id="rId84" Type="http://schemas.openxmlformats.org/officeDocument/2006/relationships/hyperlink" Target="file:///canada/government-bond-yield" TargetMode="External"/><Relationship Id="rId138" Type="http://schemas.openxmlformats.org/officeDocument/2006/relationships/queryTable" Target="../queryTables/queryTable29.xml"/><Relationship Id="rId107" Type="http://schemas.openxmlformats.org/officeDocument/2006/relationships/hyperlink" Target="file:///bchusd:cur" TargetMode="External"/><Relationship Id="rId11" Type="http://schemas.openxmlformats.org/officeDocument/2006/relationships/hyperlink" Target="file:///commodity/gasoline" TargetMode="External"/><Relationship Id="rId32" Type="http://schemas.openxmlformats.org/officeDocument/2006/relationships/hyperlink" Target="file:///canada/currency" TargetMode="External"/><Relationship Id="rId37" Type="http://schemas.openxmlformats.org/officeDocument/2006/relationships/hyperlink" Target="file:///south-korea/currency" TargetMode="External"/><Relationship Id="rId53" Type="http://schemas.openxmlformats.org/officeDocument/2006/relationships/hyperlink" Target="file:///india/stock-market" TargetMode="External"/><Relationship Id="rId58" Type="http://schemas.openxmlformats.org/officeDocument/2006/relationships/hyperlink" Target="javascript:void(0);" TargetMode="External"/><Relationship Id="rId74" Type="http://schemas.openxmlformats.org/officeDocument/2006/relationships/hyperlink" Target="file:///stocks" TargetMode="External"/><Relationship Id="rId79" Type="http://schemas.openxmlformats.org/officeDocument/2006/relationships/hyperlink" Target="file:///australia/government-bond-yield" TargetMode="External"/><Relationship Id="rId102" Type="http://schemas.openxmlformats.org/officeDocument/2006/relationships/hyperlink" Target="file:///atmusd:cur" TargetMode="External"/><Relationship Id="rId123" Type="http://schemas.openxmlformats.org/officeDocument/2006/relationships/queryTable" Target="../queryTables/queryTable14.xml"/><Relationship Id="rId128" Type="http://schemas.openxmlformats.org/officeDocument/2006/relationships/queryTable" Target="../queryTables/queryTable19.xml"/><Relationship Id="rId5" Type="http://schemas.openxmlformats.org/officeDocument/2006/relationships/hyperlink" Target="file:///commodity/lithium" TargetMode="External"/><Relationship Id="rId90" Type="http://schemas.openxmlformats.org/officeDocument/2006/relationships/hyperlink" Target="file:///chile/government-bond-yield" TargetMode="External"/><Relationship Id="rId95" Type="http://schemas.openxmlformats.org/officeDocument/2006/relationships/hyperlink" Target="file:///bnbusd:cur" TargetMode="External"/><Relationship Id="rId22" Type="http://schemas.openxmlformats.org/officeDocument/2006/relationships/hyperlink" Target="file:///commodity/iron-ore-cny" TargetMode="External"/><Relationship Id="rId27" Type="http://schemas.openxmlformats.org/officeDocument/2006/relationships/hyperlink" Target="file:///australia/currency" TargetMode="External"/><Relationship Id="rId43" Type="http://schemas.openxmlformats.org/officeDocument/2006/relationships/hyperlink" Target="file:///indu:ind" TargetMode="External"/><Relationship Id="rId48" Type="http://schemas.openxmlformats.org/officeDocument/2006/relationships/hyperlink" Target="file:///france/stock-market" TargetMode="External"/><Relationship Id="rId64" Type="http://schemas.openxmlformats.org/officeDocument/2006/relationships/hyperlink" Target="file:///nvda:us" TargetMode="External"/><Relationship Id="rId69" Type="http://schemas.openxmlformats.org/officeDocument/2006/relationships/hyperlink" Target="file:///pg:us" TargetMode="External"/><Relationship Id="rId113" Type="http://schemas.openxmlformats.org/officeDocument/2006/relationships/queryTable" Target="../queryTables/queryTable4.xml"/><Relationship Id="rId118" Type="http://schemas.openxmlformats.org/officeDocument/2006/relationships/queryTable" Target="../queryTables/queryTable9.xml"/><Relationship Id="rId134" Type="http://schemas.openxmlformats.org/officeDocument/2006/relationships/queryTable" Target="../queryTables/queryTable25.xml"/><Relationship Id="rId139" Type="http://schemas.openxmlformats.org/officeDocument/2006/relationships/queryTable" Target="../queryTables/queryTable30.xml"/><Relationship Id="rId80" Type="http://schemas.openxmlformats.org/officeDocument/2006/relationships/hyperlink" Target="file:///germany/government-bond-yield" TargetMode="External"/><Relationship Id="rId85" Type="http://schemas.openxmlformats.org/officeDocument/2006/relationships/hyperlink" Target="file:///italy/government-bond-yield" TargetMode="External"/><Relationship Id="rId12" Type="http://schemas.openxmlformats.org/officeDocument/2006/relationships/hyperlink" Target="file:///commodity/heating-oil" TargetMode="External"/><Relationship Id="rId17" Type="http://schemas.openxmlformats.org/officeDocument/2006/relationships/hyperlink" Target="file:///commodity/wheat" TargetMode="External"/><Relationship Id="rId33" Type="http://schemas.openxmlformats.org/officeDocument/2006/relationships/hyperlink" Target="file:///mexico/currency" TargetMode="External"/><Relationship Id="rId38" Type="http://schemas.openxmlformats.org/officeDocument/2006/relationships/hyperlink" Target="file:///united-states/currency" TargetMode="External"/><Relationship Id="rId59" Type="http://schemas.openxmlformats.org/officeDocument/2006/relationships/hyperlink" Target="file:///aapl:us" TargetMode="External"/><Relationship Id="rId103" Type="http://schemas.openxmlformats.org/officeDocument/2006/relationships/hyperlink" Target="file:///daiusd:cur" TargetMode="External"/><Relationship Id="rId108" Type="http://schemas.openxmlformats.org/officeDocument/2006/relationships/hyperlink" Target="file:///crypto" TargetMode="External"/><Relationship Id="rId124" Type="http://schemas.openxmlformats.org/officeDocument/2006/relationships/queryTable" Target="../queryTables/queryTable15.xml"/><Relationship Id="rId129" Type="http://schemas.openxmlformats.org/officeDocument/2006/relationships/queryTable" Target="../queryTables/queryTable20.xml"/><Relationship Id="rId54" Type="http://schemas.openxmlformats.org/officeDocument/2006/relationships/hyperlink" Target="file:///canada/stock-market" TargetMode="External"/><Relationship Id="rId70" Type="http://schemas.openxmlformats.org/officeDocument/2006/relationships/hyperlink" Target="file:///xom:us" TargetMode="External"/><Relationship Id="rId75" Type="http://schemas.openxmlformats.org/officeDocument/2006/relationships/hyperlink" Target="javascript:void(0);" TargetMode="External"/><Relationship Id="rId91" Type="http://schemas.openxmlformats.org/officeDocument/2006/relationships/hyperlink" Target="file:///bonds" TargetMode="External"/><Relationship Id="rId96" Type="http://schemas.openxmlformats.org/officeDocument/2006/relationships/hyperlink" Target="file:///adausd:cur" TargetMode="External"/><Relationship Id="rId140" Type="http://schemas.openxmlformats.org/officeDocument/2006/relationships/queryTable" Target="../queryTables/queryTable31.xml"/><Relationship Id="rId1" Type="http://schemas.openxmlformats.org/officeDocument/2006/relationships/hyperlink" Target="file:///commodity/gold" TargetMode="External"/><Relationship Id="rId6" Type="http://schemas.openxmlformats.org/officeDocument/2006/relationships/hyperlink" Target="file:///commodity/platinum" TargetMode="External"/><Relationship Id="rId23" Type="http://schemas.openxmlformats.org/officeDocument/2006/relationships/hyperlink" Target="file:///commodities" TargetMode="External"/><Relationship Id="rId28" Type="http://schemas.openxmlformats.org/officeDocument/2006/relationships/hyperlink" Target="file:///new-zealand/currency" TargetMode="External"/><Relationship Id="rId49" Type="http://schemas.openxmlformats.org/officeDocument/2006/relationships/hyperlink" Target="file:///italy/stock-market" TargetMode="External"/><Relationship Id="rId114" Type="http://schemas.openxmlformats.org/officeDocument/2006/relationships/queryTable" Target="../queryTables/queryTable5.xml"/><Relationship Id="rId119" Type="http://schemas.openxmlformats.org/officeDocument/2006/relationships/queryTable" Target="../queryTables/queryTable10.xml"/><Relationship Id="rId44" Type="http://schemas.openxmlformats.org/officeDocument/2006/relationships/hyperlink" Target="file:///us100:ind" TargetMode="External"/><Relationship Id="rId60" Type="http://schemas.openxmlformats.org/officeDocument/2006/relationships/hyperlink" Target="file:///tsla:us" TargetMode="External"/><Relationship Id="rId65" Type="http://schemas.openxmlformats.org/officeDocument/2006/relationships/hyperlink" Target="file:///v/us" TargetMode="External"/><Relationship Id="rId81" Type="http://schemas.openxmlformats.org/officeDocument/2006/relationships/hyperlink" Target="file:///brazil/government-bond-yield" TargetMode="External"/><Relationship Id="rId86" Type="http://schemas.openxmlformats.org/officeDocument/2006/relationships/hyperlink" Target="file:///france/government-bond-yield" TargetMode="External"/><Relationship Id="rId130" Type="http://schemas.openxmlformats.org/officeDocument/2006/relationships/queryTable" Target="../queryTables/queryTable21.xml"/><Relationship Id="rId135" Type="http://schemas.openxmlformats.org/officeDocument/2006/relationships/queryTable" Target="../queryTables/queryTable26.xml"/><Relationship Id="rId13" Type="http://schemas.openxmlformats.org/officeDocument/2006/relationships/hyperlink" Target="file:///commodity/gold" TargetMode="External"/><Relationship Id="rId18" Type="http://schemas.openxmlformats.org/officeDocument/2006/relationships/hyperlink" Target="file:///commodity/coal" TargetMode="External"/><Relationship Id="rId39" Type="http://schemas.openxmlformats.org/officeDocument/2006/relationships/hyperlink" Target="file:///turkey/currency" TargetMode="External"/><Relationship Id="rId109" Type="http://schemas.openxmlformats.org/officeDocument/2006/relationships/hyperlink" Target="javascript:void(0);" TargetMode="External"/><Relationship Id="rId34" Type="http://schemas.openxmlformats.org/officeDocument/2006/relationships/hyperlink" Target="file:///india/currency" TargetMode="External"/><Relationship Id="rId50" Type="http://schemas.openxmlformats.org/officeDocument/2006/relationships/hyperlink" Target="file:///spain/stock-market" TargetMode="External"/><Relationship Id="rId55" Type="http://schemas.openxmlformats.org/officeDocument/2006/relationships/hyperlink" Target="file:///russia/stock-market" TargetMode="External"/><Relationship Id="rId76" Type="http://schemas.openxmlformats.org/officeDocument/2006/relationships/hyperlink" Target="file:///united-states/government-bond-yield" TargetMode="External"/><Relationship Id="rId97" Type="http://schemas.openxmlformats.org/officeDocument/2006/relationships/hyperlink" Target="file:///solusd:cur" TargetMode="External"/><Relationship Id="rId104" Type="http://schemas.openxmlformats.org/officeDocument/2006/relationships/hyperlink" Target="file:///ltcusd:cur" TargetMode="External"/><Relationship Id="rId120" Type="http://schemas.openxmlformats.org/officeDocument/2006/relationships/queryTable" Target="../queryTables/queryTable11.xml"/><Relationship Id="rId125" Type="http://schemas.openxmlformats.org/officeDocument/2006/relationships/queryTable" Target="../queryTables/queryTable16.xml"/><Relationship Id="rId141" Type="http://schemas.openxmlformats.org/officeDocument/2006/relationships/queryTable" Target="../queryTables/queryTable32.xml"/><Relationship Id="rId7" Type="http://schemas.openxmlformats.org/officeDocument/2006/relationships/hyperlink" Target="file:///commodity/iron-ore" TargetMode="External"/><Relationship Id="rId71" Type="http://schemas.openxmlformats.org/officeDocument/2006/relationships/hyperlink" Target="file:///goog:us" TargetMode="External"/><Relationship Id="rId92" Type="http://schemas.openxmlformats.org/officeDocument/2006/relationships/hyperlink" Target="javascript:void(0);" TargetMode="External"/><Relationship Id="rId2" Type="http://schemas.openxmlformats.org/officeDocument/2006/relationships/hyperlink" Target="file:///commodity/silver" TargetMode="External"/><Relationship Id="rId29" Type="http://schemas.openxmlformats.org/officeDocument/2006/relationships/hyperlink" Target="file:///japan/currency" TargetMode="External"/><Relationship Id="rId24" Type="http://schemas.openxmlformats.org/officeDocument/2006/relationships/hyperlink" Target="javascript:void(0);" TargetMode="External"/><Relationship Id="rId40" Type="http://schemas.openxmlformats.org/officeDocument/2006/relationships/hyperlink" Target="file:///currencies" TargetMode="External"/><Relationship Id="rId45" Type="http://schemas.openxmlformats.org/officeDocument/2006/relationships/hyperlink" Target="file:///japan/stock-market" TargetMode="External"/><Relationship Id="rId66" Type="http://schemas.openxmlformats.org/officeDocument/2006/relationships/hyperlink" Target="file:///jpm:us" TargetMode="External"/><Relationship Id="rId87" Type="http://schemas.openxmlformats.org/officeDocument/2006/relationships/hyperlink" Target="file:///south-africa/government-bond-yield" TargetMode="External"/><Relationship Id="rId110" Type="http://schemas.openxmlformats.org/officeDocument/2006/relationships/queryTable" Target="../queryTables/queryTable1.xml"/><Relationship Id="rId115" Type="http://schemas.openxmlformats.org/officeDocument/2006/relationships/queryTable" Target="../queryTables/queryTable6.xml"/><Relationship Id="rId131" Type="http://schemas.openxmlformats.org/officeDocument/2006/relationships/queryTable" Target="../queryTables/queryTable22.xml"/><Relationship Id="rId136" Type="http://schemas.openxmlformats.org/officeDocument/2006/relationships/queryTable" Target="../queryTables/queryTable27.xml"/><Relationship Id="rId61" Type="http://schemas.openxmlformats.org/officeDocument/2006/relationships/hyperlink" Target="file:///msft:us" TargetMode="External"/><Relationship Id="rId82" Type="http://schemas.openxmlformats.org/officeDocument/2006/relationships/hyperlink" Target="file:///russia/government-bond-yield" TargetMode="External"/><Relationship Id="rId19" Type="http://schemas.openxmlformats.org/officeDocument/2006/relationships/hyperlink" Target="file:///commodity/steel" TargetMode="External"/><Relationship Id="rId14" Type="http://schemas.openxmlformats.org/officeDocument/2006/relationships/hyperlink" Target="file:///commodity/silver" TargetMode="External"/><Relationship Id="rId30" Type="http://schemas.openxmlformats.org/officeDocument/2006/relationships/hyperlink" Target="file:///china/currency" TargetMode="External"/><Relationship Id="rId35" Type="http://schemas.openxmlformats.org/officeDocument/2006/relationships/hyperlink" Target="file:///brazil/currency" TargetMode="External"/><Relationship Id="rId56" Type="http://schemas.openxmlformats.org/officeDocument/2006/relationships/hyperlink" Target="file:///brazil/stock-market" TargetMode="External"/><Relationship Id="rId77" Type="http://schemas.openxmlformats.org/officeDocument/2006/relationships/hyperlink" Target="file:///united-kingdom/government-bond-yield" TargetMode="External"/><Relationship Id="rId100" Type="http://schemas.openxmlformats.org/officeDocument/2006/relationships/hyperlink" Target="file:///avxusd:cur" TargetMode="External"/><Relationship Id="rId105" Type="http://schemas.openxmlformats.org/officeDocument/2006/relationships/hyperlink" Target="file:///uniusd:cur" TargetMode="External"/><Relationship Id="rId126" Type="http://schemas.openxmlformats.org/officeDocument/2006/relationships/queryTable" Target="../queryTables/queryTable17.xml"/><Relationship Id="rId8" Type="http://schemas.openxmlformats.org/officeDocument/2006/relationships/hyperlink" Target="file:///commodity/crude-oil" TargetMode="External"/><Relationship Id="rId51" Type="http://schemas.openxmlformats.org/officeDocument/2006/relationships/hyperlink" Target="file:///australia/stock-market" TargetMode="External"/><Relationship Id="rId72" Type="http://schemas.openxmlformats.org/officeDocument/2006/relationships/hyperlink" Target="file:///gs:us" TargetMode="External"/><Relationship Id="rId93" Type="http://schemas.openxmlformats.org/officeDocument/2006/relationships/hyperlink" Target="file:///btcusd:cur" TargetMode="External"/><Relationship Id="rId98" Type="http://schemas.openxmlformats.org/officeDocument/2006/relationships/hyperlink" Target="file:///xrpusd:cur" TargetMode="External"/><Relationship Id="rId121" Type="http://schemas.openxmlformats.org/officeDocument/2006/relationships/queryTable" Target="../queryTables/queryTable12.xml"/><Relationship Id="rId142" Type="http://schemas.openxmlformats.org/officeDocument/2006/relationships/queryTable" Target="../queryTables/queryTable33.xml"/><Relationship Id="rId3" Type="http://schemas.openxmlformats.org/officeDocument/2006/relationships/hyperlink" Target="file:///commodity/copper" TargetMode="External"/><Relationship Id="rId25" Type="http://schemas.openxmlformats.org/officeDocument/2006/relationships/hyperlink" Target="file:///euro-area/currency" TargetMode="External"/><Relationship Id="rId46" Type="http://schemas.openxmlformats.org/officeDocument/2006/relationships/hyperlink" Target="file:///united-kingdom/stock-market" TargetMode="External"/><Relationship Id="rId67" Type="http://schemas.openxmlformats.org/officeDocument/2006/relationships/hyperlink" Target="file:///orcl:us" TargetMode="External"/><Relationship Id="rId116" Type="http://schemas.openxmlformats.org/officeDocument/2006/relationships/queryTable" Target="../queryTables/queryTable7.xml"/><Relationship Id="rId137" Type="http://schemas.openxmlformats.org/officeDocument/2006/relationships/queryTable" Target="../queryTables/queryTable28.xml"/><Relationship Id="rId20" Type="http://schemas.openxmlformats.org/officeDocument/2006/relationships/hyperlink" Target="file:///commodity/eu-natural-gas" TargetMode="External"/><Relationship Id="rId41" Type="http://schemas.openxmlformats.org/officeDocument/2006/relationships/hyperlink" Target="javascript:void(0);" TargetMode="External"/><Relationship Id="rId62" Type="http://schemas.openxmlformats.org/officeDocument/2006/relationships/hyperlink" Target="file:///amzn:us" TargetMode="External"/><Relationship Id="rId83" Type="http://schemas.openxmlformats.org/officeDocument/2006/relationships/hyperlink" Target="file:///india/government-bond-yield" TargetMode="External"/><Relationship Id="rId88" Type="http://schemas.openxmlformats.org/officeDocument/2006/relationships/hyperlink" Target="file:///china/government-bond-yield" TargetMode="External"/><Relationship Id="rId111" Type="http://schemas.openxmlformats.org/officeDocument/2006/relationships/queryTable" Target="../queryTables/queryTable2.xml"/><Relationship Id="rId132" Type="http://schemas.openxmlformats.org/officeDocument/2006/relationships/queryTable" Target="../queryTables/queryTable23.xml"/><Relationship Id="rId15" Type="http://schemas.openxmlformats.org/officeDocument/2006/relationships/hyperlink" Target="file:///commodity/copper" TargetMode="External"/><Relationship Id="rId36" Type="http://schemas.openxmlformats.org/officeDocument/2006/relationships/hyperlink" Target="file:///russia/currency" TargetMode="External"/><Relationship Id="rId57" Type="http://schemas.openxmlformats.org/officeDocument/2006/relationships/hyperlink" Target="file:///stocks" TargetMode="External"/><Relationship Id="rId106" Type="http://schemas.openxmlformats.org/officeDocument/2006/relationships/hyperlink" Target="file:///algusd:cur" TargetMode="External"/><Relationship Id="rId127" Type="http://schemas.openxmlformats.org/officeDocument/2006/relationships/queryTable" Target="../queryTables/queryTable18.xml"/><Relationship Id="rId10" Type="http://schemas.openxmlformats.org/officeDocument/2006/relationships/hyperlink" Target="file:///commodity/natural-gas" TargetMode="External"/><Relationship Id="rId31" Type="http://schemas.openxmlformats.org/officeDocument/2006/relationships/hyperlink" Target="file:///switzerland/currency" TargetMode="External"/><Relationship Id="rId52" Type="http://schemas.openxmlformats.org/officeDocument/2006/relationships/hyperlink" Target="file:///china/stock-market" TargetMode="External"/><Relationship Id="rId73" Type="http://schemas.openxmlformats.org/officeDocument/2006/relationships/hyperlink" Target="file:///cat:us" TargetMode="External"/><Relationship Id="rId78" Type="http://schemas.openxmlformats.org/officeDocument/2006/relationships/hyperlink" Target="file:///japan/government-bond-yield" TargetMode="External"/><Relationship Id="rId94" Type="http://schemas.openxmlformats.org/officeDocument/2006/relationships/hyperlink" Target="file:///ethusd:cur" TargetMode="External"/><Relationship Id="rId99" Type="http://schemas.openxmlformats.org/officeDocument/2006/relationships/hyperlink" Target="file:///dotusd:cur" TargetMode="External"/><Relationship Id="rId101" Type="http://schemas.openxmlformats.org/officeDocument/2006/relationships/hyperlink" Target="file:///mtcusd:cur" TargetMode="External"/><Relationship Id="rId122" Type="http://schemas.openxmlformats.org/officeDocument/2006/relationships/queryTable" Target="../queryTables/queryTable13.xml"/><Relationship Id="rId4" Type="http://schemas.openxmlformats.org/officeDocument/2006/relationships/hyperlink" Target="file:///commodity/steel" TargetMode="External"/><Relationship Id="rId9" Type="http://schemas.openxmlformats.org/officeDocument/2006/relationships/hyperlink" Target="file:///commodity/brent-crude-oil" TargetMode="External"/><Relationship Id="rId26" Type="http://schemas.openxmlformats.org/officeDocument/2006/relationships/hyperlink" Target="file:///united-kingdom/currency" TargetMode="External"/><Relationship Id="rId47" Type="http://schemas.openxmlformats.org/officeDocument/2006/relationships/hyperlink" Target="file:///germany/stock-market" TargetMode="External"/><Relationship Id="rId68" Type="http://schemas.openxmlformats.org/officeDocument/2006/relationships/hyperlink" Target="file:///jnj:us" TargetMode="External"/><Relationship Id="rId89" Type="http://schemas.openxmlformats.org/officeDocument/2006/relationships/hyperlink" Target="file:///switzerland/government-bond-yield" TargetMode="External"/><Relationship Id="rId112" Type="http://schemas.openxmlformats.org/officeDocument/2006/relationships/queryTable" Target="../queryTables/queryTable3.xml"/><Relationship Id="rId133" Type="http://schemas.openxmlformats.org/officeDocument/2006/relationships/queryTable" Target="../queryTables/queryTable24.xml"/><Relationship Id="rId16" Type="http://schemas.openxmlformats.org/officeDocument/2006/relationships/hyperlink" Target="file:///commodity/soybea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E7A-DB44-664B-B814-064E78E26B38}">
  <sheetPr codeName="Sheet1">
    <pageSetUpPr fitToPage="1"/>
  </sheetPr>
  <dimension ref="A1:L4"/>
  <sheetViews>
    <sheetView showGridLines="0" tabSelected="1" zoomScale="110" zoomScaleNormal="110" workbookViewId="0">
      <selection activeCell="P21" sqref="P21"/>
    </sheetView>
  </sheetViews>
  <sheetFormatPr baseColWidth="10" defaultRowHeight="16" x14ac:dyDescent="0.2"/>
  <cols>
    <col min="5" max="5" width="12.6640625" bestFit="1" customWidth="1"/>
    <col min="16" max="16" width="12.6640625" bestFit="1" customWidth="1"/>
  </cols>
  <sheetData>
    <row r="1" spans="1:12" x14ac:dyDescent="0.2">
      <c r="A1" s="25" t="s">
        <v>123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2" spans="1:12" x14ac:dyDescent="0.2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4" spans="1:12" x14ac:dyDescent="0.2">
      <c r="D4" t="s">
        <v>124</v>
      </c>
      <c r="E4" s="26">
        <f ca="1">NOW()</f>
        <v>46095.832976157406</v>
      </c>
    </row>
  </sheetData>
  <mergeCells count="1">
    <mergeCell ref="A1:L2"/>
  </mergeCells>
  <pageMargins left="0.7" right="0.7" top="0.75" bottom="0.75" header="0.3" footer="0.3"/>
  <pageSetup scale="95" orientation="landscape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0D0A0-3ADD-1942-A11D-01BB3F5472F9}">
  <sheetPr codeName="Sheet2"/>
  <dimension ref="A1:B6"/>
  <sheetViews>
    <sheetView workbookViewId="0">
      <selection activeCell="F25" sqref="F25"/>
    </sheetView>
  </sheetViews>
  <sheetFormatPr baseColWidth="10" defaultRowHeight="16" x14ac:dyDescent="0.2"/>
  <cols>
    <col min="1" max="1" width="13.5" customWidth="1"/>
    <col min="2" max="2" width="30.6640625" style="22" customWidth="1"/>
  </cols>
  <sheetData>
    <row r="1" spans="1:2" ht="22" x14ac:dyDescent="0.2">
      <c r="A1" s="24" t="s">
        <v>122</v>
      </c>
      <c r="B1" s="24"/>
    </row>
    <row r="2" spans="1:2" x14ac:dyDescent="0.2">
      <c r="A2" t="s">
        <v>119</v>
      </c>
      <c r="B2" s="20" t="s">
        <v>120</v>
      </c>
    </row>
    <row r="3" spans="1:2" x14ac:dyDescent="0.2">
      <c r="A3" t="s">
        <v>121</v>
      </c>
      <c r="B3" s="21">
        <v>158000</v>
      </c>
    </row>
    <row r="4" spans="1:2" x14ac:dyDescent="0.2">
      <c r="A4" t="s">
        <v>29</v>
      </c>
      <c r="B4" s="21">
        <v>5098.7700000000004</v>
      </c>
    </row>
    <row r="5" spans="1:2" x14ac:dyDescent="0.2">
      <c r="A5" t="s">
        <v>30</v>
      </c>
      <c r="B5" s="21">
        <v>84</v>
      </c>
    </row>
    <row r="6" spans="1:2" x14ac:dyDescent="0.2">
      <c r="A6" t="s">
        <v>31</v>
      </c>
      <c r="B6" s="21">
        <v>5.79</v>
      </c>
    </row>
  </sheetData>
  <mergeCells count="1">
    <mergeCell ref="A1:B1"/>
  </mergeCells>
  <conditionalFormatting sqref="B3:B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BDAA3-0953-BF48-8474-30ACC9DDFF98}">
  <sheetPr codeName="Sheet3"/>
  <dimension ref="A1:M119"/>
  <sheetViews>
    <sheetView workbookViewId="0">
      <selection activeCell="J18" sqref="J18"/>
    </sheetView>
  </sheetViews>
  <sheetFormatPr baseColWidth="10" defaultRowHeight="16" x14ac:dyDescent="0.2"/>
  <cols>
    <col min="1" max="1" width="8.33203125" bestFit="1" customWidth="1"/>
    <col min="2" max="2" width="6.1640625" bestFit="1" customWidth="1"/>
    <col min="3" max="3" width="8.5" bestFit="1" customWidth="1"/>
    <col min="4" max="4" width="7.33203125" bestFit="1" customWidth="1"/>
    <col min="5" max="5" width="14" bestFit="1" customWidth="1"/>
    <col min="6" max="6" width="11.5" bestFit="1" customWidth="1"/>
    <col min="7" max="7" width="11" bestFit="1" customWidth="1"/>
    <col min="8" max="8" width="9.83203125" bestFit="1" customWidth="1"/>
    <col min="9" max="9" width="9.33203125" bestFit="1" customWidth="1"/>
    <col min="10" max="10" width="12.33203125" bestFit="1" customWidth="1"/>
    <col min="11" max="11" width="9.5" bestFit="1" customWidth="1"/>
    <col min="12" max="12" width="13" bestFit="1" customWidth="1"/>
    <col min="13" max="13" width="9.33203125" bestFit="1" customWidth="1"/>
    <col min="14" max="14" width="12.33203125" bestFit="1" customWidth="1"/>
    <col min="15" max="15" width="9.5" bestFit="1" customWidth="1"/>
    <col min="16" max="16" width="13" bestFit="1" customWidth="1"/>
    <col min="17" max="17" width="9.33203125" bestFit="1" customWidth="1"/>
    <col min="18" max="18" width="12.33203125" bestFit="1" customWidth="1"/>
    <col min="19" max="19" width="9.5" bestFit="1" customWidth="1"/>
    <col min="20" max="20" width="13" bestFit="1" customWidth="1"/>
    <col min="21" max="21" width="9.33203125" bestFit="1" customWidth="1"/>
    <col min="22" max="22" width="12.33203125" bestFit="1" customWidth="1"/>
    <col min="23" max="23" width="9.5" bestFit="1" customWidth="1"/>
    <col min="24" max="24" width="13" bestFit="1" customWidth="1"/>
    <col min="25" max="25" width="9.33203125" bestFit="1" customWidth="1"/>
    <col min="26" max="26" width="12.33203125" bestFit="1" customWidth="1"/>
    <col min="27" max="27" width="9.5" bestFit="1" customWidth="1"/>
    <col min="28" max="28" width="13" bestFit="1" customWidth="1"/>
    <col min="29" max="29" width="9.33203125" bestFit="1" customWidth="1"/>
    <col min="30" max="30" width="12.33203125" bestFit="1" customWidth="1"/>
    <col min="31" max="31" width="9.5" bestFit="1" customWidth="1"/>
    <col min="32" max="32" width="13" bestFit="1" customWidth="1"/>
    <col min="33" max="33" width="9.33203125" bestFit="1" customWidth="1"/>
    <col min="34" max="34" width="12.33203125" bestFit="1" customWidth="1"/>
    <col min="35" max="35" width="9.5" bestFit="1" customWidth="1"/>
    <col min="36" max="36" width="13" bestFit="1" customWidth="1"/>
    <col min="37" max="37" width="9.33203125" bestFit="1" customWidth="1"/>
    <col min="38" max="38" width="12.33203125" bestFit="1" customWidth="1"/>
    <col min="39" max="39" width="9.5" bestFit="1" customWidth="1"/>
    <col min="40" max="40" width="13" bestFit="1" customWidth="1"/>
    <col min="41" max="41" width="9.33203125" bestFit="1" customWidth="1"/>
    <col min="42" max="42" width="12.33203125" bestFit="1" customWidth="1"/>
    <col min="43" max="43" width="9.5" bestFit="1" customWidth="1"/>
    <col min="44" max="44" width="13" bestFit="1" customWidth="1"/>
    <col min="45" max="45" width="9.33203125" bestFit="1" customWidth="1"/>
    <col min="46" max="46" width="12.33203125" bestFit="1" customWidth="1"/>
    <col min="47" max="47" width="9.5" bestFit="1" customWidth="1"/>
    <col min="48" max="48" width="13" bestFit="1" customWidth="1"/>
    <col min="49" max="49" width="9.33203125" bestFit="1" customWidth="1"/>
    <col min="50" max="50" width="12.33203125" bestFit="1" customWidth="1"/>
    <col min="51" max="51" width="9.5" bestFit="1" customWidth="1"/>
    <col min="52" max="52" width="13" bestFit="1" customWidth="1"/>
  </cols>
  <sheetData>
    <row r="1" spans="5:13" ht="17" x14ac:dyDescent="0.2">
      <c r="E1" s="2"/>
      <c r="F1" s="2" t="s">
        <v>0</v>
      </c>
      <c r="G1" s="2"/>
      <c r="H1" s="2"/>
      <c r="I1" s="3" t="s">
        <v>1</v>
      </c>
      <c r="J1" s="3" t="s">
        <v>2</v>
      </c>
      <c r="K1" s="3" t="s">
        <v>3</v>
      </c>
      <c r="L1" s="3" t="s">
        <v>4</v>
      </c>
    </row>
    <row r="2" spans="5:13" ht="17" x14ac:dyDescent="0.2">
      <c r="E2" s="4" t="s">
        <v>5</v>
      </c>
      <c r="F2" s="5">
        <v>5098.7700000000004</v>
      </c>
      <c r="G2" s="6"/>
      <c r="H2" s="3">
        <v>-80.73</v>
      </c>
      <c r="I2" s="7">
        <v>-1.5599999999999999E-2</v>
      </c>
      <c r="J2" s="7">
        <v>1.09E-2</v>
      </c>
      <c r="K2" s="7">
        <v>0.70740000000000003</v>
      </c>
      <c r="L2" s="8">
        <v>46094</v>
      </c>
    </row>
    <row r="3" spans="5:13" ht="17" x14ac:dyDescent="0.2">
      <c r="E3" s="4" t="s">
        <v>6</v>
      </c>
      <c r="F3" s="6">
        <v>84</v>
      </c>
      <c r="G3" s="6"/>
      <c r="H3" s="3">
        <v>-1.7390000000000001</v>
      </c>
      <c r="I3" s="7">
        <v>-2.0299999999999999E-2</v>
      </c>
      <c r="J3" s="7">
        <v>7.7399999999999997E-2</v>
      </c>
      <c r="K3" s="7">
        <v>1.4810000000000001</v>
      </c>
      <c r="L3" s="8">
        <v>46094</v>
      </c>
    </row>
    <row r="4" spans="5:13" ht="17" x14ac:dyDescent="0.2">
      <c r="E4" s="4" t="s">
        <v>7</v>
      </c>
      <c r="F4" s="6">
        <v>5.79</v>
      </c>
      <c r="G4" s="6"/>
      <c r="H4" s="3">
        <v>-5.79E-2</v>
      </c>
      <c r="I4" s="7">
        <v>-9.9000000000000008E-3</v>
      </c>
      <c r="J4" s="7">
        <v>-2.7000000000000001E-3</v>
      </c>
      <c r="K4" s="7">
        <v>0.18010000000000001</v>
      </c>
      <c r="L4" s="8">
        <v>46094</v>
      </c>
    </row>
    <row r="5" spans="5:13" ht="17" x14ac:dyDescent="0.2">
      <c r="E5" s="4" t="s">
        <v>8</v>
      </c>
      <c r="F5" s="5">
        <v>3138</v>
      </c>
      <c r="G5" s="6"/>
      <c r="H5" s="3">
        <v>13</v>
      </c>
      <c r="I5" s="7">
        <v>4.1999999999999997E-3</v>
      </c>
      <c r="J5" s="7">
        <v>2.6800000000000001E-2</v>
      </c>
      <c r="K5" s="7">
        <v>-3.6200000000000003E-2</v>
      </c>
      <c r="L5" s="8">
        <v>46093</v>
      </c>
    </row>
    <row r="6" spans="5:13" ht="17" x14ac:dyDescent="0.2">
      <c r="E6" s="4" t="s">
        <v>9</v>
      </c>
      <c r="F6" s="5">
        <v>158000</v>
      </c>
      <c r="G6" s="6"/>
      <c r="H6" s="3">
        <v>-1000</v>
      </c>
      <c r="I6" s="7">
        <v>-6.3E-3</v>
      </c>
      <c r="J6" s="7">
        <v>9.9099999999999994E-2</v>
      </c>
      <c r="K6" s="7">
        <v>1.1136999999999999</v>
      </c>
      <c r="L6" s="8">
        <v>46093</v>
      </c>
    </row>
    <row r="7" spans="5:13" ht="17" x14ac:dyDescent="0.2">
      <c r="E7" s="4" t="s">
        <v>10</v>
      </c>
      <c r="F7" s="5">
        <v>2140.1999999999998</v>
      </c>
      <c r="G7" s="6"/>
      <c r="H7" s="3">
        <v>-64.099999999999994</v>
      </c>
      <c r="I7" s="7">
        <v>-2.9100000000000001E-2</v>
      </c>
      <c r="J7" s="7">
        <v>3.04E-2</v>
      </c>
      <c r="K7" s="7">
        <v>1.1297999999999999</v>
      </c>
      <c r="L7" s="8">
        <v>46094</v>
      </c>
    </row>
    <row r="8" spans="5:13" ht="17" x14ac:dyDescent="0.2">
      <c r="E8" s="4" t="s">
        <v>11</v>
      </c>
      <c r="F8" s="6">
        <v>104.72</v>
      </c>
      <c r="G8" s="6"/>
      <c r="H8" s="3">
        <v>1.19</v>
      </c>
      <c r="I8" s="7">
        <v>1.15E-2</v>
      </c>
      <c r="J8" s="7">
        <v>5.0799999999999998E-2</v>
      </c>
      <c r="K8" s="7">
        <v>2.5100000000000001E-2</v>
      </c>
      <c r="L8" s="8">
        <v>46093</v>
      </c>
    </row>
    <row r="10" spans="5:13" ht="20" x14ac:dyDescent="0.2">
      <c r="E10" s="9"/>
      <c r="F10" s="9" t="s">
        <v>12</v>
      </c>
      <c r="G10" s="9" t="s">
        <v>13</v>
      </c>
      <c r="H10" s="9" t="s">
        <v>14</v>
      </c>
      <c r="I10" s="9" t="s">
        <v>15</v>
      </c>
      <c r="J10" s="9" t="s">
        <v>16</v>
      </c>
      <c r="K10" s="9" t="s">
        <v>17</v>
      </c>
      <c r="L10" s="9" t="s">
        <v>18</v>
      </c>
      <c r="M10" s="9"/>
    </row>
    <row r="11" spans="5:13" ht="17" x14ac:dyDescent="0.2">
      <c r="E11" s="6"/>
      <c r="F11" s="6">
        <v>158000</v>
      </c>
      <c r="G11" s="6">
        <v>159000</v>
      </c>
      <c r="H11" s="6">
        <v>5750000</v>
      </c>
      <c r="I11" s="6">
        <v>39000</v>
      </c>
      <c r="J11" s="6" t="s">
        <v>19</v>
      </c>
      <c r="K11" s="6" t="s">
        <v>20</v>
      </c>
      <c r="L11" s="6" t="s">
        <v>21</v>
      </c>
      <c r="M11" s="6"/>
    </row>
    <row r="13" spans="5:13" ht="17" x14ac:dyDescent="0.2">
      <c r="E13" s="2"/>
      <c r="F13" s="3" t="s">
        <v>12</v>
      </c>
      <c r="G13" s="2" t="s">
        <v>22</v>
      </c>
      <c r="H13" s="3" t="s">
        <v>23</v>
      </c>
      <c r="I13" s="1"/>
    </row>
    <row r="14" spans="5:13" x14ac:dyDescent="0.2">
      <c r="E14" s="10" t="s">
        <v>24</v>
      </c>
      <c r="F14" s="11">
        <v>96.454999999999998</v>
      </c>
      <c r="G14" s="12">
        <v>9.1999999999999993</v>
      </c>
      <c r="H14" s="13">
        <v>0.1055</v>
      </c>
      <c r="I14" s="1"/>
    </row>
    <row r="15" spans="5:13" x14ac:dyDescent="0.2">
      <c r="E15" s="10" t="s">
        <v>25</v>
      </c>
      <c r="F15" s="11">
        <v>101.24299999999999</v>
      </c>
      <c r="G15" s="12">
        <v>9.26</v>
      </c>
      <c r="H15" s="13">
        <v>0.1007</v>
      </c>
      <c r="I15" s="1"/>
    </row>
    <row r="16" spans="5:13" x14ac:dyDescent="0.2">
      <c r="E16" s="10" t="s">
        <v>26</v>
      </c>
      <c r="F16" s="11">
        <v>3.2336999999999998</v>
      </c>
      <c r="G16" s="12">
        <v>0.02</v>
      </c>
      <c r="H16" s="13">
        <v>7.7000000000000002E-3</v>
      </c>
      <c r="I16" s="1"/>
    </row>
    <row r="17" spans="5:9" x14ac:dyDescent="0.2">
      <c r="E17" s="10" t="s">
        <v>27</v>
      </c>
      <c r="F17" s="11">
        <v>2.9643999999999999</v>
      </c>
      <c r="G17" s="12">
        <v>0.18</v>
      </c>
      <c r="H17" s="13">
        <v>6.3200000000000006E-2</v>
      </c>
      <c r="I17" s="1"/>
    </row>
    <row r="18" spans="5:9" x14ac:dyDescent="0.2">
      <c r="E18" s="10" t="s">
        <v>28</v>
      </c>
      <c r="F18" s="11">
        <v>3.9203000000000001</v>
      </c>
      <c r="G18" s="12">
        <v>0.24</v>
      </c>
      <c r="H18" s="13">
        <v>6.5600000000000006E-2</v>
      </c>
      <c r="I18" s="1"/>
    </row>
    <row r="19" spans="5:9" x14ac:dyDescent="0.2">
      <c r="E19" s="10" t="s">
        <v>29</v>
      </c>
      <c r="F19" s="11">
        <v>5099.53</v>
      </c>
      <c r="G19" s="12">
        <v>79.97</v>
      </c>
      <c r="H19" s="13">
        <v>-1.54E-2</v>
      </c>
      <c r="I19" s="1"/>
    </row>
    <row r="20" spans="5:9" x14ac:dyDescent="0.2">
      <c r="E20" s="10" t="s">
        <v>30</v>
      </c>
      <c r="F20" s="11">
        <v>83.95</v>
      </c>
      <c r="G20" s="12">
        <v>1.79</v>
      </c>
      <c r="H20" s="13">
        <v>-2.0899999999999998E-2</v>
      </c>
      <c r="I20" s="1"/>
    </row>
    <row r="21" spans="5:9" x14ac:dyDescent="0.2">
      <c r="E21" s="10" t="s">
        <v>31</v>
      </c>
      <c r="F21" s="11">
        <v>5.7855999999999996</v>
      </c>
      <c r="G21" s="12">
        <v>0.06</v>
      </c>
      <c r="H21" s="13">
        <v>-1.0200000000000001E-2</v>
      </c>
      <c r="I21" s="1"/>
    </row>
    <row r="22" spans="5:9" x14ac:dyDescent="0.2">
      <c r="E22" s="10" t="s">
        <v>32</v>
      </c>
      <c r="F22" s="11">
        <v>1226.57</v>
      </c>
      <c r="G22" s="12">
        <v>26.07</v>
      </c>
      <c r="H22" s="13">
        <v>2.1700000000000001E-2</v>
      </c>
      <c r="I22" s="1"/>
    </row>
    <row r="23" spans="5:9" x14ac:dyDescent="0.2">
      <c r="E23" s="10" t="s">
        <v>33</v>
      </c>
      <c r="F23" s="11">
        <v>598.28</v>
      </c>
      <c r="G23" s="12">
        <v>9.7799999999999994</v>
      </c>
      <c r="H23" s="13">
        <v>1.66E-2</v>
      </c>
      <c r="I23" s="1"/>
    </row>
    <row r="24" spans="5:9" x14ac:dyDescent="0.2">
      <c r="E24" s="10" t="s">
        <v>34</v>
      </c>
      <c r="F24" s="11">
        <v>138.75</v>
      </c>
      <c r="G24" s="12">
        <v>3.85</v>
      </c>
      <c r="H24" s="13">
        <v>2.8500000000000001E-2</v>
      </c>
      <c r="I24" s="1"/>
    </row>
    <row r="25" spans="5:9" x14ac:dyDescent="0.2">
      <c r="E25" s="10" t="s">
        <v>35</v>
      </c>
      <c r="F25" s="11">
        <v>3138</v>
      </c>
      <c r="G25" s="12">
        <v>13</v>
      </c>
      <c r="H25" s="13">
        <v>4.1999999999999997E-3</v>
      </c>
      <c r="I25" s="1"/>
    </row>
    <row r="26" spans="5:9" x14ac:dyDescent="0.2">
      <c r="E26" s="10" t="s">
        <v>36</v>
      </c>
      <c r="F26" s="11">
        <v>50.35</v>
      </c>
      <c r="G26" s="12">
        <v>0.36</v>
      </c>
      <c r="H26" s="13">
        <v>7.1999999999999998E-3</v>
      </c>
      <c r="I26" s="1"/>
    </row>
    <row r="27" spans="5:9" x14ac:dyDescent="0.2">
      <c r="E27" s="10" t="s">
        <v>37</v>
      </c>
      <c r="F27" s="11">
        <v>597</v>
      </c>
      <c r="G27" s="12">
        <v>4</v>
      </c>
      <c r="H27" s="13">
        <v>6.7000000000000002E-3</v>
      </c>
      <c r="I27" s="1"/>
    </row>
    <row r="28" spans="5:9" x14ac:dyDescent="0.2">
      <c r="E28" s="10" t="s">
        <v>38</v>
      </c>
      <c r="F28" s="11">
        <v>809</v>
      </c>
      <c r="G28" s="12">
        <v>13.5</v>
      </c>
      <c r="H28" s="13">
        <v>1.7000000000000001E-2</v>
      </c>
      <c r="I28" s="1"/>
    </row>
    <row r="29" spans="5:9" ht="17" x14ac:dyDescent="0.2">
      <c r="E29" s="14" t="s">
        <v>39</v>
      </c>
      <c r="F29" s="15" t="s">
        <v>40</v>
      </c>
      <c r="G29" s="15"/>
      <c r="H29" s="15"/>
      <c r="I29" s="15"/>
    </row>
    <row r="31" spans="5:9" ht="17" x14ac:dyDescent="0.2">
      <c r="E31" s="2"/>
      <c r="F31" s="3" t="s">
        <v>12</v>
      </c>
      <c r="G31" s="2" t="s">
        <v>22</v>
      </c>
      <c r="H31" s="3" t="s">
        <v>23</v>
      </c>
      <c r="I31" s="1"/>
    </row>
    <row r="32" spans="5:9" x14ac:dyDescent="0.2">
      <c r="E32" s="10" t="s">
        <v>41</v>
      </c>
      <c r="F32" s="11">
        <v>1.15219</v>
      </c>
      <c r="G32" s="12">
        <v>4.5999999999999999E-3</v>
      </c>
      <c r="H32" s="13">
        <v>-3.8999999999999998E-3</v>
      </c>
      <c r="I32" s="1"/>
    </row>
    <row r="33" spans="5:9" x14ac:dyDescent="0.2">
      <c r="E33" s="10" t="s">
        <v>42</v>
      </c>
      <c r="F33" s="11">
        <v>1.3356600000000001</v>
      </c>
      <c r="G33" s="12">
        <v>5.4999999999999997E-3</v>
      </c>
      <c r="H33" s="13">
        <v>-4.1000000000000003E-3</v>
      </c>
      <c r="I33" s="1"/>
    </row>
    <row r="34" spans="5:9" x14ac:dyDescent="0.2">
      <c r="E34" s="10" t="s">
        <v>43</v>
      </c>
      <c r="F34" s="11">
        <v>0.70738000000000001</v>
      </c>
      <c r="G34" s="12">
        <v>7.7999999999999996E-3</v>
      </c>
      <c r="H34" s="13">
        <v>-1.09E-2</v>
      </c>
      <c r="I34" s="1"/>
    </row>
    <row r="35" spans="5:9" x14ac:dyDescent="0.2">
      <c r="E35" s="10" t="s">
        <v>44</v>
      </c>
      <c r="F35" s="11">
        <v>0.58535999999999999</v>
      </c>
      <c r="G35" s="12">
        <v>6.0000000000000001E-3</v>
      </c>
      <c r="H35" s="13">
        <v>-1.0200000000000001E-2</v>
      </c>
      <c r="I35" s="1"/>
    </row>
    <row r="36" spans="5:9" x14ac:dyDescent="0.2">
      <c r="E36" s="10" t="s">
        <v>45</v>
      </c>
      <c r="F36" s="11">
        <v>159.048</v>
      </c>
      <c r="G36" s="12">
        <v>9.5000000000000001E-2</v>
      </c>
      <c r="H36" s="13">
        <v>5.9999999999999995E-4</v>
      </c>
      <c r="I36" s="1"/>
    </row>
    <row r="37" spans="5:9" x14ac:dyDescent="0.2">
      <c r="E37" s="10" t="s">
        <v>46</v>
      </c>
      <c r="F37" s="11">
        <v>6.8789400000000001</v>
      </c>
      <c r="G37" s="12">
        <v>2.2000000000000001E-3</v>
      </c>
      <c r="H37" s="13">
        <v>2.9999999999999997E-4</v>
      </c>
      <c r="I37" s="1"/>
    </row>
    <row r="38" spans="5:9" x14ac:dyDescent="0.2">
      <c r="E38" s="10" t="s">
        <v>47</v>
      </c>
      <c r="F38" s="11">
        <v>0.78503999999999996</v>
      </c>
      <c r="G38" s="12">
        <v>4.3E-3</v>
      </c>
      <c r="H38" s="13">
        <v>5.4999999999999997E-3</v>
      </c>
      <c r="I38" s="1"/>
    </row>
    <row r="39" spans="5:9" x14ac:dyDescent="0.2">
      <c r="E39" s="10" t="s">
        <v>48</v>
      </c>
      <c r="F39" s="11">
        <v>1.3627100000000001</v>
      </c>
      <c r="G39" s="12">
        <v>3.3999999999999998E-3</v>
      </c>
      <c r="H39" s="13">
        <v>2.5000000000000001E-3</v>
      </c>
      <c r="I39" s="1"/>
    </row>
    <row r="40" spans="5:9" x14ac:dyDescent="0.2">
      <c r="E40" s="10" t="s">
        <v>49</v>
      </c>
      <c r="F40" s="11">
        <v>17.837800000000001</v>
      </c>
      <c r="G40" s="12">
        <v>0.1583</v>
      </c>
      <c r="H40" s="13">
        <v>8.9999999999999993E-3</v>
      </c>
      <c r="I40" s="1"/>
    </row>
    <row r="41" spans="5:9" x14ac:dyDescent="0.2">
      <c r="E41" s="10" t="s">
        <v>50</v>
      </c>
      <c r="F41" s="11">
        <v>92.534000000000006</v>
      </c>
      <c r="G41" s="12">
        <v>0.29799999999999999</v>
      </c>
      <c r="H41" s="13">
        <v>3.2000000000000002E-3</v>
      </c>
      <c r="I41" s="1"/>
    </row>
    <row r="42" spans="5:9" x14ac:dyDescent="0.2">
      <c r="E42" s="10" t="s">
        <v>51</v>
      </c>
      <c r="F42" s="11">
        <v>5.2458999999999998</v>
      </c>
      <c r="G42" s="12">
        <v>5.1499999999999997E-2</v>
      </c>
      <c r="H42" s="13">
        <v>9.9000000000000008E-3</v>
      </c>
      <c r="I42" s="1"/>
    </row>
    <row r="43" spans="5:9" x14ac:dyDescent="0.2">
      <c r="E43" s="10" t="s">
        <v>52</v>
      </c>
      <c r="F43" s="11">
        <v>79.997900000000001</v>
      </c>
      <c r="G43" s="12">
        <v>0.83789999999999998</v>
      </c>
      <c r="H43" s="13">
        <v>1.06E-2</v>
      </c>
      <c r="I43" s="1"/>
    </row>
    <row r="44" spans="5:9" x14ac:dyDescent="0.2">
      <c r="E44" s="10" t="s">
        <v>53</v>
      </c>
      <c r="F44" s="11">
        <v>1488.03</v>
      </c>
      <c r="G44" s="12">
        <v>9.41</v>
      </c>
      <c r="H44" s="13">
        <v>6.4000000000000003E-3</v>
      </c>
      <c r="I44" s="1"/>
    </row>
    <row r="45" spans="5:9" x14ac:dyDescent="0.2">
      <c r="E45" s="10" t="s">
        <v>54</v>
      </c>
      <c r="F45" s="11">
        <v>99.626000000000005</v>
      </c>
      <c r="G45" s="12">
        <v>0.39550000000000002</v>
      </c>
      <c r="H45" s="13">
        <v>4.0000000000000001E-3</v>
      </c>
      <c r="I45" s="1"/>
    </row>
    <row r="46" spans="5:9" x14ac:dyDescent="0.2">
      <c r="E46" s="10" t="s">
        <v>55</v>
      </c>
      <c r="F46" s="11">
        <v>44.191800000000001</v>
      </c>
      <c r="G46" s="12">
        <v>0.12859999999999999</v>
      </c>
      <c r="H46" s="13">
        <v>2.8999999999999998E-3</v>
      </c>
      <c r="I46" s="1"/>
    </row>
    <row r="47" spans="5:9" ht="17" x14ac:dyDescent="0.2">
      <c r="E47" s="14" t="s">
        <v>39</v>
      </c>
      <c r="F47" s="15" t="s">
        <v>40</v>
      </c>
      <c r="G47" s="15"/>
      <c r="H47" s="15"/>
      <c r="I47" s="15"/>
    </row>
    <row r="49" spans="1:9" ht="17" x14ac:dyDescent="0.2">
      <c r="E49" s="2"/>
      <c r="F49" s="3" t="s">
        <v>12</v>
      </c>
      <c r="G49" s="2" t="s">
        <v>22</v>
      </c>
      <c r="H49" s="3" t="s">
        <v>23</v>
      </c>
      <c r="I49" s="2"/>
    </row>
    <row r="50" spans="1:9" x14ac:dyDescent="0.2">
      <c r="E50" s="10" t="s">
        <v>56</v>
      </c>
      <c r="F50" s="11">
        <v>6671.48</v>
      </c>
      <c r="G50" s="12">
        <v>104</v>
      </c>
      <c r="H50" s="13">
        <v>-1.54E-2</v>
      </c>
      <c r="I50" s="16"/>
    </row>
    <row r="51" spans="1:9" x14ac:dyDescent="0.2">
      <c r="E51" s="10" t="s">
        <v>57</v>
      </c>
      <c r="F51" s="11">
        <v>46717</v>
      </c>
      <c r="G51" s="12">
        <v>700</v>
      </c>
      <c r="H51" s="13">
        <v>-1.4800000000000001E-2</v>
      </c>
      <c r="I51" s="16"/>
    </row>
    <row r="52" spans="1:9" ht="18" thickBot="1" x14ac:dyDescent="0.25">
      <c r="A52" s="18" t="s">
        <v>116</v>
      </c>
      <c r="B52" s="18" t="s">
        <v>0</v>
      </c>
      <c r="C52" s="18" t="s">
        <v>117</v>
      </c>
      <c r="D52" s="18" t="s">
        <v>118</v>
      </c>
      <c r="E52" s="10" t="s">
        <v>58</v>
      </c>
      <c r="F52" s="11">
        <v>24504</v>
      </c>
      <c r="G52" s="12">
        <v>461</v>
      </c>
      <c r="H52" s="13">
        <v>-1.8499999999999999E-2</v>
      </c>
      <c r="I52" s="16"/>
    </row>
    <row r="53" spans="1:9" x14ac:dyDescent="0.2">
      <c r="E53" s="10" t="s">
        <v>59</v>
      </c>
      <c r="F53" s="11">
        <v>53075</v>
      </c>
      <c r="G53" s="17">
        <v>1950</v>
      </c>
      <c r="H53" s="13">
        <v>-3.5400000000000001E-2</v>
      </c>
      <c r="I53" s="19"/>
    </row>
    <row r="54" spans="1:9" x14ac:dyDescent="0.2">
      <c r="E54" s="10" t="s">
        <v>60</v>
      </c>
      <c r="F54" s="11">
        <v>10305</v>
      </c>
      <c r="G54" s="12">
        <v>49</v>
      </c>
      <c r="H54" s="13">
        <v>-4.7000000000000002E-3</v>
      </c>
      <c r="I54" s="16"/>
    </row>
    <row r="55" spans="1:9" x14ac:dyDescent="0.2">
      <c r="E55" s="10" t="s">
        <v>61</v>
      </c>
      <c r="F55" s="11">
        <v>23590</v>
      </c>
      <c r="G55" s="12">
        <v>50</v>
      </c>
      <c r="H55" s="13">
        <v>-2.0999999999999999E-3</v>
      </c>
      <c r="I55" s="16"/>
    </row>
    <row r="56" spans="1:9" ht="18" thickBot="1" x14ac:dyDescent="0.25">
      <c r="A56" s="18" t="s">
        <v>116</v>
      </c>
      <c r="B56" s="18" t="s">
        <v>0</v>
      </c>
      <c r="C56" s="18" t="s">
        <v>117</v>
      </c>
      <c r="D56" s="18" t="s">
        <v>118</v>
      </c>
      <c r="E56" s="10" t="s">
        <v>62</v>
      </c>
      <c r="F56" s="11">
        <v>7984</v>
      </c>
      <c r="G56" s="12">
        <v>57</v>
      </c>
      <c r="H56" s="13">
        <v>-7.1000000000000004E-3</v>
      </c>
      <c r="I56" s="16"/>
    </row>
    <row r="57" spans="1:9" x14ac:dyDescent="0.2">
      <c r="E57" s="10" t="s">
        <v>63</v>
      </c>
      <c r="F57" s="11">
        <v>44360</v>
      </c>
      <c r="G57" s="12">
        <v>413</v>
      </c>
      <c r="H57" s="13">
        <v>-9.1999999999999998E-3</v>
      </c>
      <c r="I57" s="16"/>
    </row>
    <row r="58" spans="1:9" x14ac:dyDescent="0.2">
      <c r="E58" s="10" t="s">
        <v>64</v>
      </c>
      <c r="F58" s="11">
        <v>17140</v>
      </c>
      <c r="G58" s="12">
        <v>212</v>
      </c>
      <c r="H58" s="13">
        <v>-1.2200000000000001E-2</v>
      </c>
      <c r="I58" s="16"/>
    </row>
    <row r="59" spans="1:9" x14ac:dyDescent="0.2">
      <c r="E59" s="10" t="s">
        <v>65</v>
      </c>
      <c r="F59" s="11">
        <v>8575</v>
      </c>
      <c r="G59" s="12">
        <v>169</v>
      </c>
      <c r="H59" s="13">
        <v>-1.9300000000000001E-2</v>
      </c>
      <c r="I59" s="19"/>
    </row>
    <row r="60" spans="1:9" x14ac:dyDescent="0.2">
      <c r="E60" s="10" t="s">
        <v>66</v>
      </c>
      <c r="F60" s="11">
        <v>4129</v>
      </c>
      <c r="G60" s="12">
        <v>4</v>
      </c>
      <c r="H60" s="13">
        <v>-1E-3</v>
      </c>
      <c r="I60" s="16"/>
    </row>
    <row r="61" spans="1:9" x14ac:dyDescent="0.2">
      <c r="E61" s="10" t="s">
        <v>67</v>
      </c>
      <c r="F61" s="11">
        <v>76034</v>
      </c>
      <c r="G61" s="12">
        <v>829</v>
      </c>
      <c r="H61" s="13">
        <v>-1.0800000000000001E-2</v>
      </c>
      <c r="I61" s="16"/>
    </row>
    <row r="62" spans="1:9" x14ac:dyDescent="0.2">
      <c r="E62" s="10" t="s">
        <v>68</v>
      </c>
      <c r="F62" s="11">
        <v>32841</v>
      </c>
      <c r="G62" s="12">
        <v>279</v>
      </c>
      <c r="H62" s="13">
        <v>-8.3999999999999995E-3</v>
      </c>
      <c r="I62" s="16"/>
    </row>
    <row r="63" spans="1:9" x14ac:dyDescent="0.2">
      <c r="E63" s="10" t="s">
        <v>69</v>
      </c>
      <c r="F63" s="11">
        <v>2872</v>
      </c>
      <c r="G63" s="12">
        <v>18</v>
      </c>
      <c r="H63" s="13">
        <v>6.3E-3</v>
      </c>
      <c r="I63" s="16"/>
    </row>
    <row r="64" spans="1:9" x14ac:dyDescent="0.2">
      <c r="E64" s="10" t="s">
        <v>70</v>
      </c>
      <c r="F64" s="11">
        <v>179284</v>
      </c>
      <c r="G64" s="17">
        <v>4685</v>
      </c>
      <c r="H64" s="13">
        <v>-2.5499999999999998E-2</v>
      </c>
      <c r="I64" s="16"/>
    </row>
    <row r="65" spans="5:9" ht="17" x14ac:dyDescent="0.2">
      <c r="E65" s="14" t="s">
        <v>39</v>
      </c>
      <c r="F65" s="15" t="s">
        <v>40</v>
      </c>
      <c r="G65" s="15"/>
      <c r="H65" s="15"/>
      <c r="I65" s="15"/>
    </row>
    <row r="67" spans="5:9" ht="17" x14ac:dyDescent="0.2">
      <c r="E67" s="2"/>
      <c r="F67" s="3" t="s">
        <v>12</v>
      </c>
      <c r="G67" s="2" t="s">
        <v>22</v>
      </c>
      <c r="H67" s="3" t="s">
        <v>23</v>
      </c>
      <c r="I67" s="1"/>
    </row>
    <row r="68" spans="5:9" x14ac:dyDescent="0.2">
      <c r="E68" s="10" t="s">
        <v>71</v>
      </c>
      <c r="F68" s="11">
        <v>255.76</v>
      </c>
      <c r="G68" s="12">
        <v>5.05</v>
      </c>
      <c r="H68" s="13">
        <v>-1.9400000000000001E-2</v>
      </c>
      <c r="I68" s="1"/>
    </row>
    <row r="69" spans="5:9" x14ac:dyDescent="0.2">
      <c r="E69" s="10" t="s">
        <v>72</v>
      </c>
      <c r="F69" s="11">
        <v>395.01</v>
      </c>
      <c r="G69" s="12">
        <v>12.81</v>
      </c>
      <c r="H69" s="13">
        <v>-3.1399999999999997E-2</v>
      </c>
      <c r="I69" s="1"/>
    </row>
    <row r="70" spans="5:9" x14ac:dyDescent="0.2">
      <c r="E70" s="10" t="s">
        <v>73</v>
      </c>
      <c r="F70" s="11">
        <v>401.86</v>
      </c>
      <c r="G70" s="12">
        <v>3.02</v>
      </c>
      <c r="H70" s="13">
        <v>-7.4999999999999997E-3</v>
      </c>
      <c r="I70" s="1"/>
    </row>
    <row r="71" spans="5:9" x14ac:dyDescent="0.2">
      <c r="E71" s="10" t="s">
        <v>74</v>
      </c>
      <c r="F71" s="11">
        <v>209.53</v>
      </c>
      <c r="G71" s="12">
        <v>3.12</v>
      </c>
      <c r="H71" s="13">
        <v>-1.47E-2</v>
      </c>
      <c r="I71" s="1"/>
    </row>
    <row r="72" spans="5:9" x14ac:dyDescent="0.2">
      <c r="E72" s="10" t="s">
        <v>75</v>
      </c>
      <c r="F72" s="11">
        <v>638.17999999999995</v>
      </c>
      <c r="G72" s="12">
        <v>16.68</v>
      </c>
      <c r="H72" s="13">
        <v>-2.5499999999999998E-2</v>
      </c>
      <c r="I72" s="1"/>
    </row>
    <row r="73" spans="5:9" x14ac:dyDescent="0.2">
      <c r="E73" s="10" t="s">
        <v>76</v>
      </c>
      <c r="F73" s="11">
        <v>183.14</v>
      </c>
      <c r="G73" s="12">
        <v>2.89</v>
      </c>
      <c r="H73" s="13">
        <v>-1.55E-2</v>
      </c>
      <c r="I73" s="1"/>
    </row>
    <row r="74" spans="5:9" x14ac:dyDescent="0.2">
      <c r="E74" s="10" t="s">
        <v>77</v>
      </c>
      <c r="F74" s="11">
        <v>306.5</v>
      </c>
      <c r="G74" s="12">
        <v>2.46</v>
      </c>
      <c r="H74" s="13">
        <v>-8.0000000000000002E-3</v>
      </c>
      <c r="I74" s="1"/>
    </row>
    <row r="75" spans="5:9" x14ac:dyDescent="0.2">
      <c r="E75" s="10" t="s">
        <v>78</v>
      </c>
      <c r="F75" s="11">
        <v>282.89</v>
      </c>
      <c r="G75" s="12">
        <v>4.63</v>
      </c>
      <c r="H75" s="13">
        <v>-1.61E-2</v>
      </c>
      <c r="I75" s="1"/>
    </row>
    <row r="76" spans="5:9" x14ac:dyDescent="0.2">
      <c r="E76" s="10" t="s">
        <v>79</v>
      </c>
      <c r="F76" s="11">
        <v>159.16</v>
      </c>
      <c r="G76" s="12">
        <v>3.96</v>
      </c>
      <c r="H76" s="13">
        <v>-2.4299999999999999E-2</v>
      </c>
      <c r="I76" s="1"/>
    </row>
    <row r="77" spans="5:9" x14ac:dyDescent="0.2">
      <c r="E77" s="10" t="s">
        <v>80</v>
      </c>
      <c r="F77" s="11">
        <v>242.04</v>
      </c>
      <c r="G77" s="12">
        <v>0.95</v>
      </c>
      <c r="H77" s="13">
        <v>-3.8999999999999998E-3</v>
      </c>
      <c r="I77" s="1"/>
    </row>
    <row r="78" spans="5:9" x14ac:dyDescent="0.2">
      <c r="E78" s="10" t="s">
        <v>81</v>
      </c>
      <c r="F78" s="11">
        <v>150.5</v>
      </c>
      <c r="G78" s="12">
        <v>2.82</v>
      </c>
      <c r="H78" s="13">
        <v>-1.84E-2</v>
      </c>
      <c r="I78" s="1"/>
    </row>
    <row r="79" spans="5:9" x14ac:dyDescent="0.2">
      <c r="E79" s="10" t="s">
        <v>82</v>
      </c>
      <c r="F79" s="11">
        <v>153.53</v>
      </c>
      <c r="G79" s="12">
        <v>1.95</v>
      </c>
      <c r="H79" s="13">
        <v>1.29E-2</v>
      </c>
      <c r="I79" s="1"/>
    </row>
    <row r="80" spans="5:9" x14ac:dyDescent="0.2">
      <c r="E80" s="10" t="s">
        <v>83</v>
      </c>
      <c r="F80" s="11">
        <v>303.55</v>
      </c>
      <c r="G80" s="12">
        <v>5.15</v>
      </c>
      <c r="H80" s="13">
        <v>-1.67E-2</v>
      </c>
      <c r="I80" s="1"/>
    </row>
    <row r="81" spans="5:9" x14ac:dyDescent="0.2">
      <c r="E81" s="10" t="s">
        <v>84</v>
      </c>
      <c r="F81" s="11">
        <v>787.52</v>
      </c>
      <c r="G81" s="12">
        <v>36.24</v>
      </c>
      <c r="H81" s="13">
        <v>-4.3999999999999997E-2</v>
      </c>
      <c r="I81" s="1"/>
    </row>
    <row r="82" spans="5:9" x14ac:dyDescent="0.2">
      <c r="E82" s="10" t="s">
        <v>85</v>
      </c>
      <c r="F82" s="11">
        <v>700.69</v>
      </c>
      <c r="G82" s="12">
        <v>6.9</v>
      </c>
      <c r="H82" s="13">
        <v>-9.7999999999999997E-3</v>
      </c>
      <c r="I82" s="1"/>
    </row>
    <row r="83" spans="5:9" ht="17" x14ac:dyDescent="0.2">
      <c r="E83" s="14" t="s">
        <v>39</v>
      </c>
      <c r="F83" s="15" t="s">
        <v>40</v>
      </c>
      <c r="G83" s="15"/>
      <c r="H83" s="15"/>
      <c r="I83" s="15"/>
    </row>
    <row r="85" spans="5:9" ht="17" x14ac:dyDescent="0.2">
      <c r="E85" s="2"/>
      <c r="F85" s="3" t="s">
        <v>12</v>
      </c>
      <c r="G85" s="2" t="s">
        <v>22</v>
      </c>
      <c r="H85" s="3" t="s">
        <v>23</v>
      </c>
      <c r="I85" s="1"/>
    </row>
    <row r="86" spans="5:9" x14ac:dyDescent="0.2">
      <c r="E86" s="10" t="s">
        <v>86</v>
      </c>
      <c r="F86" s="11">
        <v>4.2590000000000003</v>
      </c>
      <c r="G86" s="12">
        <v>2.8000000000000001E-2</v>
      </c>
      <c r="H86" s="13">
        <v>2.9999999999999997E-4</v>
      </c>
      <c r="I86" s="1"/>
    </row>
    <row r="87" spans="5:9" x14ac:dyDescent="0.2">
      <c r="E87" s="10" t="s">
        <v>87</v>
      </c>
      <c r="F87" s="11">
        <v>4.7140000000000004</v>
      </c>
      <c r="G87" s="12">
        <v>8.6999999999999994E-2</v>
      </c>
      <c r="H87" s="13">
        <v>8.9999999999999998E-4</v>
      </c>
      <c r="I87" s="1"/>
    </row>
    <row r="88" spans="5:9" x14ac:dyDescent="0.2">
      <c r="E88" s="10" t="s">
        <v>88</v>
      </c>
      <c r="F88" s="11">
        <v>2.1880000000000002</v>
      </c>
      <c r="G88" s="12">
        <v>2.1999999999999999E-2</v>
      </c>
      <c r="H88" s="13">
        <v>2.0000000000000001E-4</v>
      </c>
      <c r="I88" s="1"/>
    </row>
    <row r="89" spans="5:9" x14ac:dyDescent="0.2">
      <c r="E89" s="10" t="s">
        <v>89</v>
      </c>
      <c r="F89" s="11">
        <v>4.9489999999999998</v>
      </c>
      <c r="G89" s="12">
        <v>0.10199999999999999</v>
      </c>
      <c r="H89" s="13">
        <v>1E-3</v>
      </c>
      <c r="I89" s="1"/>
    </row>
    <row r="90" spans="5:9" x14ac:dyDescent="0.2">
      <c r="E90" s="10" t="s">
        <v>90</v>
      </c>
      <c r="F90" s="11">
        <v>2.9378000000000002</v>
      </c>
      <c r="G90" s="12">
        <v>6.0000000000000001E-3</v>
      </c>
      <c r="H90" s="13">
        <v>1E-4</v>
      </c>
      <c r="I90" s="1"/>
    </row>
    <row r="91" spans="5:9" x14ac:dyDescent="0.2">
      <c r="E91" s="10" t="s">
        <v>91</v>
      </c>
      <c r="F91" s="11">
        <v>13.93</v>
      </c>
      <c r="G91" s="12">
        <v>0.16</v>
      </c>
      <c r="H91" s="13">
        <v>1.6000000000000001E-3</v>
      </c>
      <c r="I91" s="1"/>
    </row>
    <row r="92" spans="5:9" x14ac:dyDescent="0.2">
      <c r="E92" s="10" t="s">
        <v>92</v>
      </c>
      <c r="F92" s="11">
        <v>14.2</v>
      </c>
      <c r="G92" s="12">
        <v>0.18</v>
      </c>
      <c r="H92" s="13">
        <v>-1.8E-3</v>
      </c>
      <c r="I92" s="1"/>
    </row>
    <row r="93" spans="5:9" x14ac:dyDescent="0.2">
      <c r="E93" s="10" t="s">
        <v>93</v>
      </c>
      <c r="F93" s="11">
        <v>6.6710000000000003</v>
      </c>
      <c r="G93" s="12">
        <v>1.7000000000000001E-2</v>
      </c>
      <c r="H93" s="13">
        <v>-2.0000000000000001E-4</v>
      </c>
      <c r="I93" s="1"/>
    </row>
    <row r="94" spans="5:9" x14ac:dyDescent="0.2">
      <c r="E94" s="10" t="s">
        <v>94</v>
      </c>
      <c r="F94" s="11">
        <v>3.5369999999999999</v>
      </c>
      <c r="G94" s="12">
        <v>0.05</v>
      </c>
      <c r="H94" s="13">
        <v>5.0000000000000001E-4</v>
      </c>
      <c r="I94" s="1"/>
    </row>
    <row r="95" spans="5:9" x14ac:dyDescent="0.2">
      <c r="E95" s="10" t="s">
        <v>95</v>
      </c>
      <c r="F95" s="11">
        <v>3.7412000000000001</v>
      </c>
      <c r="G95" s="12">
        <v>9.5000000000000001E-2</v>
      </c>
      <c r="H95" s="13">
        <v>8.9999999999999998E-4</v>
      </c>
      <c r="I95" s="1"/>
    </row>
    <row r="96" spans="5:9" x14ac:dyDescent="0.2">
      <c r="E96" s="10" t="s">
        <v>96</v>
      </c>
      <c r="F96" s="11">
        <v>3.61</v>
      </c>
      <c r="G96" s="12">
        <v>4.7E-2</v>
      </c>
      <c r="H96" s="13">
        <v>5.0000000000000001E-4</v>
      </c>
      <c r="I96" s="1"/>
    </row>
    <row r="97" spans="5:9" x14ac:dyDescent="0.2">
      <c r="E97" s="10" t="s">
        <v>97</v>
      </c>
      <c r="F97" s="11">
        <v>8.7149999999999999</v>
      </c>
      <c r="G97" s="12">
        <v>0.2</v>
      </c>
      <c r="H97" s="13">
        <v>2E-3</v>
      </c>
      <c r="I97" s="1"/>
    </row>
    <row r="98" spans="5:9" x14ac:dyDescent="0.2">
      <c r="E98" s="10" t="s">
        <v>98</v>
      </c>
      <c r="F98" s="11">
        <v>1.8149999999999999</v>
      </c>
      <c r="G98" s="12">
        <v>2.9000000000000001E-2</v>
      </c>
      <c r="H98" s="13">
        <v>-2.9999999999999997E-4</v>
      </c>
      <c r="I98" s="1"/>
    </row>
    <row r="99" spans="5:9" x14ac:dyDescent="0.2">
      <c r="E99" s="10" t="s">
        <v>99</v>
      </c>
      <c r="F99" s="11">
        <v>0.39100000000000001</v>
      </c>
      <c r="G99" s="12">
        <v>4.0000000000000001E-3</v>
      </c>
      <c r="H99" s="13">
        <v>0</v>
      </c>
      <c r="I99" s="1"/>
    </row>
    <row r="100" spans="5:9" x14ac:dyDescent="0.2">
      <c r="E100" s="10" t="s">
        <v>100</v>
      </c>
      <c r="F100" s="11">
        <v>5.42</v>
      </c>
      <c r="G100" s="12">
        <v>0.02</v>
      </c>
      <c r="H100" s="13">
        <v>2.0000000000000001E-4</v>
      </c>
      <c r="I100" s="1"/>
    </row>
    <row r="101" spans="5:9" ht="17" x14ac:dyDescent="0.2">
      <c r="E101" s="14" t="s">
        <v>39</v>
      </c>
      <c r="F101" s="15" t="s">
        <v>40</v>
      </c>
      <c r="G101" s="15"/>
      <c r="H101" s="15"/>
      <c r="I101" s="15"/>
    </row>
    <row r="103" spans="5:9" ht="17" x14ac:dyDescent="0.2">
      <c r="E103" s="2"/>
      <c r="F103" s="3" t="s">
        <v>12</v>
      </c>
      <c r="G103" s="2" t="s">
        <v>22</v>
      </c>
      <c r="H103" s="3" t="s">
        <v>23</v>
      </c>
      <c r="I103" s="1"/>
    </row>
    <row r="104" spans="5:9" x14ac:dyDescent="0.2">
      <c r="E104" s="10" t="s">
        <v>101</v>
      </c>
      <c r="F104" s="11">
        <v>70487</v>
      </c>
      <c r="G104" s="12">
        <v>298</v>
      </c>
      <c r="H104" s="13">
        <v>4.1999999999999997E-3</v>
      </c>
      <c r="I104" s="1"/>
    </row>
    <row r="105" spans="5:9" x14ac:dyDescent="0.2">
      <c r="E105" s="10" t="s">
        <v>102</v>
      </c>
      <c r="F105" s="11">
        <v>2073.79</v>
      </c>
      <c r="G105" s="12">
        <v>24.16</v>
      </c>
      <c r="H105" s="13">
        <v>1.18E-2</v>
      </c>
      <c r="I105" s="1"/>
    </row>
    <row r="106" spans="5:9" x14ac:dyDescent="0.2">
      <c r="E106" s="10" t="s">
        <v>103</v>
      </c>
      <c r="F106" s="11">
        <v>653.1</v>
      </c>
      <c r="G106" s="12">
        <v>2.14</v>
      </c>
      <c r="H106" s="13">
        <v>3.3E-3</v>
      </c>
      <c r="I106" s="1"/>
    </row>
    <row r="107" spans="5:9" x14ac:dyDescent="0.2">
      <c r="E107" s="10" t="s">
        <v>104</v>
      </c>
      <c r="F107" s="11">
        <v>0.26329999999999998</v>
      </c>
      <c r="G107" s="12">
        <v>8.9999999999999998E-4</v>
      </c>
      <c r="H107" s="13">
        <v>3.3999999999999998E-3</v>
      </c>
      <c r="I107" s="1"/>
    </row>
    <row r="108" spans="5:9" x14ac:dyDescent="0.2">
      <c r="E108" s="10" t="s">
        <v>105</v>
      </c>
      <c r="F108" s="11">
        <v>86.808999999999997</v>
      </c>
      <c r="G108" s="12">
        <v>0.29880000000000001</v>
      </c>
      <c r="H108" s="13">
        <v>3.5000000000000001E-3</v>
      </c>
      <c r="I108" s="1"/>
    </row>
    <row r="109" spans="5:9" x14ac:dyDescent="0.2">
      <c r="E109" s="10" t="s">
        <v>106</v>
      </c>
      <c r="F109" s="11">
        <v>1.38459</v>
      </c>
      <c r="G109" s="12">
        <v>4.0000000000000002E-4</v>
      </c>
      <c r="H109" s="13">
        <v>2.9999999999999997E-4</v>
      </c>
      <c r="I109" s="1"/>
    </row>
    <row r="110" spans="5:9" x14ac:dyDescent="0.2">
      <c r="E110" s="10" t="s">
        <v>107</v>
      </c>
      <c r="F110" s="11">
        <v>1.52</v>
      </c>
      <c r="G110" s="12">
        <v>6.1999999999999998E-3</v>
      </c>
      <c r="H110" s="13">
        <v>-4.1000000000000003E-3</v>
      </c>
      <c r="I110" s="1"/>
    </row>
    <row r="111" spans="5:9" x14ac:dyDescent="0.2">
      <c r="E111" s="10" t="s">
        <v>108</v>
      </c>
      <c r="F111" s="11">
        <v>9.68</v>
      </c>
      <c r="G111" s="12">
        <v>0.13</v>
      </c>
      <c r="H111" s="13">
        <v>1.3599999999999999E-2</v>
      </c>
      <c r="I111" s="1"/>
    </row>
    <row r="112" spans="5:9" x14ac:dyDescent="0.2">
      <c r="E112" s="10" t="s">
        <v>109</v>
      </c>
      <c r="F112" s="11">
        <v>0.1</v>
      </c>
      <c r="G112" s="12">
        <v>2.9999999999999997E-4</v>
      </c>
      <c r="H112" s="13">
        <v>3.0999999999999999E-3</v>
      </c>
      <c r="I112" s="1"/>
    </row>
    <row r="113" spans="5:9" x14ac:dyDescent="0.2">
      <c r="E113" s="10" t="s">
        <v>110</v>
      </c>
      <c r="F113" s="11">
        <v>1.84</v>
      </c>
      <c r="G113" s="12">
        <v>2.7000000000000001E-3</v>
      </c>
      <c r="H113" s="13">
        <v>-1.5E-3</v>
      </c>
      <c r="I113" s="1"/>
    </row>
    <row r="114" spans="5:9" x14ac:dyDescent="0.2">
      <c r="E114" s="10" t="s">
        <v>111</v>
      </c>
      <c r="F114" s="11">
        <v>0.99987000000000004</v>
      </c>
      <c r="G114" s="12">
        <v>5.9999999999999995E-4</v>
      </c>
      <c r="H114" s="13">
        <v>5.9999999999999995E-4</v>
      </c>
      <c r="I114" s="1"/>
    </row>
    <row r="115" spans="5:9" x14ac:dyDescent="0.2">
      <c r="E115" s="10" t="s">
        <v>112</v>
      </c>
      <c r="F115" s="11">
        <v>54.52</v>
      </c>
      <c r="G115" s="12">
        <v>0.22</v>
      </c>
      <c r="H115" s="13">
        <v>-4.0000000000000001E-3</v>
      </c>
      <c r="I115" s="1"/>
    </row>
    <row r="116" spans="5:9" x14ac:dyDescent="0.2">
      <c r="E116" s="10" t="s">
        <v>113</v>
      </c>
      <c r="F116" s="11">
        <v>3.91</v>
      </c>
      <c r="G116" s="12">
        <v>1.5599999999999999E-2</v>
      </c>
      <c r="H116" s="13">
        <v>4.0000000000000001E-3</v>
      </c>
      <c r="I116" s="1"/>
    </row>
    <row r="117" spans="5:9" x14ac:dyDescent="0.2">
      <c r="E117" s="10" t="s">
        <v>114</v>
      </c>
      <c r="F117" s="11">
        <v>0.09</v>
      </c>
      <c r="G117" s="12">
        <v>2.5000000000000001E-3</v>
      </c>
      <c r="H117" s="13">
        <v>2.8299999999999999E-2</v>
      </c>
      <c r="I117" s="1"/>
    </row>
    <row r="118" spans="5:9" x14ac:dyDescent="0.2">
      <c r="E118" s="10" t="s">
        <v>115</v>
      </c>
      <c r="F118" s="11">
        <v>455.11</v>
      </c>
      <c r="G118" s="12">
        <v>0.35</v>
      </c>
      <c r="H118" s="13">
        <v>-8.0000000000000004E-4</v>
      </c>
      <c r="I118" s="1"/>
    </row>
    <row r="119" spans="5:9" ht="17" x14ac:dyDescent="0.2">
      <c r="E119" s="14" t="s">
        <v>39</v>
      </c>
      <c r="F119" s="15" t="s">
        <v>40</v>
      </c>
      <c r="G119" s="15"/>
      <c r="H119" s="15"/>
      <c r="I119" s="15"/>
    </row>
  </sheetData>
  <mergeCells count="6">
    <mergeCell ref="F29:I29"/>
    <mergeCell ref="F47:I47"/>
    <mergeCell ref="F65:I65"/>
    <mergeCell ref="F83:I83"/>
    <mergeCell ref="F101:I101"/>
    <mergeCell ref="F119:I119"/>
  </mergeCells>
  <hyperlinks>
    <hyperlink ref="E2" r:id="rId1" display="file:///commodity/gold" xr:uid="{7F5353B1-6795-7242-A2AE-3A305215A898}"/>
    <hyperlink ref="E3" r:id="rId2" display="file:///commodity/silver" xr:uid="{DFEBF1FF-5FBE-7346-845E-8C34EFDEF0B8}"/>
    <hyperlink ref="E4" r:id="rId3" display="file:///commodity/copper" xr:uid="{A2FA7641-8E05-EC48-8D2E-430D506F2CD7}"/>
    <hyperlink ref="E5" r:id="rId4" display="file:///commodity/steel" xr:uid="{56C97AD0-4D84-C34F-8B58-A0EE1E6E94FB}"/>
    <hyperlink ref="E6" r:id="rId5" display="file:///commodity/lithium" xr:uid="{85668153-3890-0D4C-B7C9-63FBC1920D49}"/>
    <hyperlink ref="E7" r:id="rId6" display="file:///commodity/platinum" xr:uid="{E03F4C12-D776-6A4E-B7B1-E6C0E9F3A602}"/>
    <hyperlink ref="E8" r:id="rId7" display="file:///commodity/iron-ore" xr:uid="{4CF5FD7E-F1AF-8F48-9E40-418B0E5E3531}"/>
    <hyperlink ref="E14" r:id="rId8" display="file:///commodity/crude-oil" xr:uid="{A8E1C71E-4847-F845-9B2D-85A73CBB929B}"/>
    <hyperlink ref="E15" r:id="rId9" display="file:///commodity/brent-crude-oil" xr:uid="{388CE3BB-7E45-D44B-91EE-5D5EBE5A509A}"/>
    <hyperlink ref="E16" r:id="rId10" display="file:///commodity/natural-gas" xr:uid="{B116ABA6-97EC-4649-84CF-9C09704869D8}"/>
    <hyperlink ref="E17" r:id="rId11" display="file:///commodity/gasoline" xr:uid="{BFEB0355-9BCD-F647-8A3E-1F4746123135}"/>
    <hyperlink ref="E18" r:id="rId12" display="file:///commodity/heating-oil" xr:uid="{9EAD9A2E-6E96-9646-8FED-127166B40389}"/>
    <hyperlink ref="E19" r:id="rId13" display="file:///commodity/gold" xr:uid="{E4EFD470-BEE1-7347-9785-DCD185255829}"/>
    <hyperlink ref="E20" r:id="rId14" display="file:///commodity/silver" xr:uid="{6D955675-945F-114F-9FD9-9899FD103222}"/>
    <hyperlink ref="E21" r:id="rId15" display="file:///commodity/copper" xr:uid="{2F098121-42DC-2542-9A42-BC0E45141E40}"/>
    <hyperlink ref="E22" r:id="rId16" display="file:///commodity/soybeans" xr:uid="{C6919092-EF52-5F45-BD5D-CAA0A98C53C9}"/>
    <hyperlink ref="E23" r:id="rId17" display="file:///commodity/wheat" xr:uid="{1C1643A2-19ED-AC42-9EF0-B1678891D387}"/>
    <hyperlink ref="E24" r:id="rId18" display="file:///commodity/coal" xr:uid="{20297475-E7C4-5A44-B009-8F90EB16BC5A}"/>
    <hyperlink ref="E25" r:id="rId19" display="file:///commodity/steel" xr:uid="{9B55D078-187E-414B-8946-0F25527AF6A7}"/>
    <hyperlink ref="E26" r:id="rId20" display="file:///commodity/eu-natural-gas" xr:uid="{6D575D18-B31B-E146-9D1E-3C066E990157}"/>
    <hyperlink ref="E27" r:id="rId21" display="file:///commodity/lumber" xr:uid="{C0BF218B-E6E8-194C-B0E2-B3E2C53E4517}"/>
    <hyperlink ref="E28" r:id="rId22" display="file:///commodity/iron-ore-cny" xr:uid="{8A298D82-74A3-CC4C-A391-AA455A697519}"/>
    <hyperlink ref="E29" r:id="rId23" display="file:///commodities" xr:uid="{BBD1EB43-451C-E440-8136-63E22FBCD0DC}"/>
    <hyperlink ref="F29" r:id="rId24" display="javascript:void(0);" xr:uid="{4E63FE50-50E6-3942-8F04-2B71C0927789}"/>
    <hyperlink ref="E32" r:id="rId25" display="file:///euro-area/currency" xr:uid="{6EF62E2F-0C5C-354E-9E95-53A43A62EAFF}"/>
    <hyperlink ref="E33" r:id="rId26" display="file:///united-kingdom/currency" xr:uid="{5A88CF77-5A80-D141-96CA-51BF54CDB732}"/>
    <hyperlink ref="E34" r:id="rId27" display="file:///australia/currency" xr:uid="{AB9DF58A-DF52-B64F-82F2-DE8594C36E43}"/>
    <hyperlink ref="E35" r:id="rId28" display="file:///new-zealand/currency" xr:uid="{87E3668F-C5D9-2241-BD47-2EE457C6A9C6}"/>
    <hyperlink ref="E36" r:id="rId29" display="file:///japan/currency" xr:uid="{BBB5725D-AE2A-8F42-8898-65509745574E}"/>
    <hyperlink ref="E37" r:id="rId30" display="file:///china/currency" xr:uid="{D4C022E4-CBDF-B645-9E43-5AF35F3C8CF0}"/>
    <hyperlink ref="E38" r:id="rId31" display="file:///switzerland/currency" xr:uid="{0F51CAC8-1245-4448-A5A2-D24E3B0DDE67}"/>
    <hyperlink ref="E39" r:id="rId32" display="file:///canada/currency" xr:uid="{6964194D-DBB1-9C46-B319-AC11E0801582}"/>
    <hyperlink ref="E40" r:id="rId33" display="file:///mexico/currency" xr:uid="{4FD3DE04-D7BE-AF4C-86F4-2000ABB8B610}"/>
    <hyperlink ref="E41" r:id="rId34" display="file:///india/currency" xr:uid="{8394EA27-6025-FE40-BDA0-189F7695E73E}"/>
    <hyperlink ref="E42" r:id="rId35" display="file:///brazil/currency" xr:uid="{71DD6BFA-2E1F-3340-9DF6-59D0C8E39C6F}"/>
    <hyperlink ref="E43" r:id="rId36" display="file:///russia/currency" xr:uid="{341124C0-0CF6-C741-96E1-D97FEEAB1789}"/>
    <hyperlink ref="E44" r:id="rId37" display="file:///south-korea/currency" xr:uid="{163D853E-12CA-C441-B90C-FF8E14B872E3}"/>
    <hyperlink ref="E45" r:id="rId38" display="file:///united-states/currency" xr:uid="{D6375F30-0102-5E40-BAE1-E5B7FB00E6FF}"/>
    <hyperlink ref="E46" r:id="rId39" display="file:///turkey/currency" xr:uid="{DA6E8B7D-A148-F44E-86CB-CF67E8E6CC37}"/>
    <hyperlink ref="E47" r:id="rId40" display="file:///currencies" xr:uid="{F4F1B96B-7E71-5C49-B9D0-F285C624326F}"/>
    <hyperlink ref="F47" r:id="rId41" display="javascript:void(0);" xr:uid="{C1C4693F-459A-BC41-AC40-4CD0666292E3}"/>
    <hyperlink ref="E50" r:id="rId42" display="file:///united-states/stock-market" xr:uid="{FDDD9ADB-E095-0140-8A9C-549712CB4D87}"/>
    <hyperlink ref="E51" r:id="rId43" display="file:///indu:ind" xr:uid="{C4E6B2ED-48FE-364C-886B-B9335AD5165D}"/>
    <hyperlink ref="E52" r:id="rId44" display="file:///us100:ind" xr:uid="{2F7C8CF8-514B-B644-BC8F-F7B61363EB37}"/>
    <hyperlink ref="E53" r:id="rId45" display="file:///japan/stock-market" xr:uid="{F4A49C90-63DB-D646-8381-4F41F1CE06F0}"/>
    <hyperlink ref="E54" r:id="rId46" display="file:///united-kingdom/stock-market" xr:uid="{1EFACEB8-DDBC-0943-9161-05BB87CE2A2A}"/>
    <hyperlink ref="E55" r:id="rId47" display="file:///germany/stock-market" xr:uid="{1AAAC809-C7F0-9B48-966C-B16E10ED2F30}"/>
    <hyperlink ref="E56" r:id="rId48" display="file:///france/stock-market" xr:uid="{92623230-CD23-214F-91DC-A2B7F70958EB}"/>
    <hyperlink ref="E57" r:id="rId49" display="file:///italy/stock-market" xr:uid="{9C1E806C-69D8-2545-9646-771F5384CFB8}"/>
    <hyperlink ref="E58" r:id="rId50" display="file:///spain/stock-market" xr:uid="{FA3E6629-4B1B-214B-8EC8-33004F84A2D2}"/>
    <hyperlink ref="E59" r:id="rId51" display="file:///australia/stock-market" xr:uid="{C66A0638-8207-1A40-9CA9-296F4F481F54}"/>
    <hyperlink ref="E60" r:id="rId52" display="file:///china/stock-market" xr:uid="{29EC9639-FF62-7F40-8705-8CA5C2F3F6DD}"/>
    <hyperlink ref="E61" r:id="rId53" display="file:///india/stock-market" xr:uid="{FCABF9E4-7EDC-2A4E-8D9E-F0F9BB6243DF}"/>
    <hyperlink ref="E62" r:id="rId54" display="file:///canada/stock-market" xr:uid="{F5A5CFE4-E6DF-3347-8833-036C3CB1D15D}"/>
    <hyperlink ref="E63" r:id="rId55" display="file:///russia/stock-market" xr:uid="{D0D287A3-E903-CF47-908D-01D6D9679575}"/>
    <hyperlink ref="E64" r:id="rId56" display="file:///brazil/stock-market" xr:uid="{F1C671A0-51D7-B74C-955F-8BC50CAE08FE}"/>
    <hyperlink ref="E65" r:id="rId57" display="file:///stocks" xr:uid="{6E491B9A-C8CC-7D40-9120-9411CDDF5EEE}"/>
    <hyperlink ref="F65" r:id="rId58" display="javascript:void(0);" xr:uid="{AFAA981A-7D52-3047-8C1D-C47F128B2FC1}"/>
    <hyperlink ref="E68" r:id="rId59" display="file:///aapl:us" xr:uid="{9A6FF567-7812-C846-A3B4-E8922515ECEE}"/>
    <hyperlink ref="E69" r:id="rId60" display="file:///tsla:us" xr:uid="{43A7FDD7-79ED-4D4E-8D81-FB891A7DC97C}"/>
    <hyperlink ref="E70" r:id="rId61" display="file:///msft:us" xr:uid="{0A666F25-2605-F64D-9F9A-7A23D80C0DB7}"/>
    <hyperlink ref="E71" r:id="rId62" display="file:///amzn:us" xr:uid="{535C216B-E6E4-1841-9109-4AF13F5BF706}"/>
    <hyperlink ref="E72" r:id="rId63" display="file:///fb:us" xr:uid="{34E2F8D2-BE75-7F4E-9157-B7C9A9963AC7}"/>
    <hyperlink ref="E73" r:id="rId64" display="file:///nvda:us" xr:uid="{D0399FB6-11B9-9144-9D66-1F5BFFB9180A}"/>
    <hyperlink ref="E74" r:id="rId65" display="file:///v/us" xr:uid="{917F6222-3C98-FC47-B1E0-8F2126300E14}"/>
    <hyperlink ref="E75" r:id="rId66" display="file:///jpm:us" xr:uid="{7B6359D1-C17C-8B4F-9176-DD072BA3AB7D}"/>
    <hyperlink ref="E76" r:id="rId67" display="file:///orcl:us" xr:uid="{D1ACDC11-7CA9-D645-B7EA-FDD69A64D54D}"/>
    <hyperlink ref="E77" r:id="rId68" display="file:///jnj:us" xr:uid="{A17C5DE8-4998-5247-98CC-195BFE63EA1A}"/>
    <hyperlink ref="E78" r:id="rId69" display="file:///pg:us" xr:uid="{81463C7A-311B-A142-B02B-BD62E3F4BFD2}"/>
    <hyperlink ref="E79" r:id="rId70" display="file:///xom:us" xr:uid="{4B2397F8-27A0-4D43-A9DA-26B31FC668D7}"/>
    <hyperlink ref="E80" r:id="rId71" display="file:///goog:us" xr:uid="{0F0CFFE5-C1C7-2447-A4DC-1C8405452CE0}"/>
    <hyperlink ref="E81" r:id="rId72" display="file:///gs:us" xr:uid="{4178A6B9-D951-1747-913E-E1324945B917}"/>
    <hyperlink ref="E82" r:id="rId73" display="file:///cat:us" xr:uid="{CDD0B228-B015-F143-9567-2457B4C5FD5E}"/>
    <hyperlink ref="E83" r:id="rId74" display="file:///stocks" xr:uid="{54BB762A-0463-B244-B38C-34A94609256E}"/>
    <hyperlink ref="F83" r:id="rId75" display="javascript:void(0);" xr:uid="{119FB3BB-2D72-3547-AF08-10895C9AD826}"/>
    <hyperlink ref="E86" r:id="rId76" display="file:///united-states/government-bond-yield" xr:uid="{CFBCCA40-E1A8-264B-9EDA-CF7EA53D286D}"/>
    <hyperlink ref="E87" r:id="rId77" display="file:///united-kingdom/government-bond-yield" xr:uid="{A227A227-E5F4-5E4F-B97E-B8971425E3A9}"/>
    <hyperlink ref="E88" r:id="rId78" display="file:///japan/government-bond-yield" xr:uid="{3C5C3C0F-EEE0-FA4D-9C4E-A8001F9A6245}"/>
    <hyperlink ref="E89" r:id="rId79" display="file:///australia/government-bond-yield" xr:uid="{B6CD269B-5D4C-2741-A1B5-C6E3BE040DD4}"/>
    <hyperlink ref="E90" r:id="rId80" display="file:///germany/government-bond-yield" xr:uid="{9EB250E0-FF13-8740-BA78-30C0B00B9B79}"/>
    <hyperlink ref="E91" r:id="rId81" display="file:///brazil/government-bond-yield" xr:uid="{EA3ACDA5-DE3E-2C41-9D5D-D73EB5FB199E}"/>
    <hyperlink ref="E92" r:id="rId82" display="file:///russia/government-bond-yield" xr:uid="{B093CA5B-DB08-C244-9C65-0C34F7930CD5}"/>
    <hyperlink ref="E93" r:id="rId83" display="file:///india/government-bond-yield" xr:uid="{D52BD993-52F1-1141-A1CA-DC427CBF9289}"/>
    <hyperlink ref="E94" r:id="rId84" display="file:///canada/government-bond-yield" xr:uid="{88A19A34-66B1-CE4D-83E9-94C6C2CF276B}"/>
    <hyperlink ref="E95" r:id="rId85" display="file:///italy/government-bond-yield" xr:uid="{2A330B5B-4C77-2F44-A409-523AF13931FF}"/>
    <hyperlink ref="E96" r:id="rId86" display="file:///france/government-bond-yield" xr:uid="{13F49965-4667-B942-961B-16B9DB4B5667}"/>
    <hyperlink ref="E97" r:id="rId87" display="file:///south-africa/government-bond-yield" xr:uid="{505A24C6-15B4-DE45-A4F5-5AB90965CCAB}"/>
    <hyperlink ref="E98" r:id="rId88" display="file:///china/government-bond-yield" xr:uid="{BEA0C3D5-1A31-3340-8883-04B50EF4B74F}"/>
    <hyperlink ref="E99" r:id="rId89" display="file:///switzerland/government-bond-yield" xr:uid="{FADD06DB-903E-2E4F-BF92-15CB665D27DF}"/>
    <hyperlink ref="E100" r:id="rId90" display="file:///chile/government-bond-yield" xr:uid="{E177ECB1-9706-E342-B601-A1BEE6B6B7D1}"/>
    <hyperlink ref="E101" r:id="rId91" display="file:///bonds" xr:uid="{55F4873F-FFBC-7046-B31C-0D89FA1B0758}"/>
    <hyperlink ref="F101" r:id="rId92" display="javascript:void(0);" xr:uid="{5E09DC19-6743-8143-B7B0-648C56E399EF}"/>
    <hyperlink ref="E104" r:id="rId93" display="file:///btcusd:cur" xr:uid="{33E459ED-3E37-EB47-97A9-4E539F1A81FE}"/>
    <hyperlink ref="E105" r:id="rId94" display="file:///ethusd:cur" xr:uid="{E0A0B09A-83C1-DE4C-B93A-129840D8BA06}"/>
    <hyperlink ref="E106" r:id="rId95" display="file:///bnbusd:cur" xr:uid="{E686D9A5-127F-4342-80F9-0AD4907E7F0D}"/>
    <hyperlink ref="E107" r:id="rId96" display="file:///adausd:cur" xr:uid="{46B45706-1017-BD4A-B312-9EDCC4124BEA}"/>
    <hyperlink ref="E108" r:id="rId97" display="file:///solusd:cur" xr:uid="{76B44CAC-5D3A-3940-9593-1AB73F78A1D6}"/>
    <hyperlink ref="E109" r:id="rId98" display="file:///xrpusd:cur" xr:uid="{F3B46D25-8D90-9E4A-8E81-DE5FF2C1C761}"/>
    <hyperlink ref="E110" r:id="rId99" display="file:///dotusd:cur" xr:uid="{28BF6EBD-04EB-6F4D-A008-AE28543633F6}"/>
    <hyperlink ref="E111" r:id="rId100" display="file:///avxusd:cur" xr:uid="{EC037A24-D3AF-DF4B-BEEE-E5F459F8BD30}"/>
    <hyperlink ref="E112" r:id="rId101" display="file:///mtcusd:cur" xr:uid="{67F77634-B8EC-8648-BA6C-37864B20139E}"/>
    <hyperlink ref="E113" r:id="rId102" display="file:///atmusd:cur" xr:uid="{B372ABFB-8D79-4E47-85AE-FC8A71151B4C}"/>
    <hyperlink ref="E114" r:id="rId103" display="file:///daiusd:cur" xr:uid="{0674AD74-DF41-0D47-B1B9-F05DD8A2267B}"/>
    <hyperlink ref="E115" r:id="rId104" display="file:///ltcusd:cur" xr:uid="{9C180421-3409-3A41-87EF-7461BBEED70B}"/>
    <hyperlink ref="E116" r:id="rId105" display="file:///uniusd:cur" xr:uid="{6A853910-67BE-7743-B33D-E1AEDD9EC45E}"/>
    <hyperlink ref="E117" r:id="rId106" display="file:///algusd:cur" xr:uid="{6B5CB5FF-945F-0D43-871C-C53C1B4CD03D}"/>
    <hyperlink ref="E118" r:id="rId107" display="file:///bchusd:cur" xr:uid="{DC8F7B0B-A7F0-C94B-A607-1BFAA932308B}"/>
    <hyperlink ref="E119" r:id="rId108" display="file:///crypto" xr:uid="{3506CB73-E086-9F42-B846-29EBED16F9FE}"/>
    <hyperlink ref="F119" r:id="rId109" display="javascript:void(0);" xr:uid="{67262A97-5427-FC41-9325-B784062B1DBA}"/>
  </hyperlink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C67B6-8D93-544C-97C4-9F6B5D0D351E}">
  <sheetPr codeName="Sheet4"/>
  <dimension ref="A1"/>
  <sheetViews>
    <sheetView workbookViewId="0">
      <selection activeCell="I29" sqref="I29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Dashboard</vt:lpstr>
      <vt:lpstr>Market_Data</vt:lpstr>
      <vt:lpstr>Raw_Web_Data</vt:lpstr>
      <vt:lpstr>Reports</vt:lpstr>
      <vt:lpstr>Raw_Web_Data!ExternalData_1</vt:lpstr>
      <vt:lpstr>Raw_Web_Data!ExternalData_10</vt:lpstr>
      <vt:lpstr>Raw_Web_Data!ExternalData_11</vt:lpstr>
      <vt:lpstr>Raw_Web_Data!ExternalData_12</vt:lpstr>
      <vt:lpstr>Raw_Web_Data!ExternalData_13</vt:lpstr>
      <vt:lpstr>Raw_Web_Data!ExternalData_14</vt:lpstr>
      <vt:lpstr>Raw_Web_Data!ExternalData_15</vt:lpstr>
      <vt:lpstr>Raw_Web_Data!ExternalData_16</vt:lpstr>
      <vt:lpstr>Raw_Web_Data!ExternalData_17</vt:lpstr>
      <vt:lpstr>Raw_Web_Data!ExternalData_18</vt:lpstr>
      <vt:lpstr>Raw_Web_Data!ExternalData_19</vt:lpstr>
      <vt:lpstr>Raw_Web_Data!ExternalData_2</vt:lpstr>
      <vt:lpstr>Raw_Web_Data!ExternalData_20</vt:lpstr>
      <vt:lpstr>Raw_Web_Data!ExternalData_21</vt:lpstr>
      <vt:lpstr>Raw_Web_Data!ExternalData_22</vt:lpstr>
      <vt:lpstr>Raw_Web_Data!ExternalData_23</vt:lpstr>
      <vt:lpstr>Raw_Web_Data!ExternalData_24</vt:lpstr>
      <vt:lpstr>Raw_Web_Data!ExternalData_26</vt:lpstr>
      <vt:lpstr>Raw_Web_Data!ExternalData_27</vt:lpstr>
      <vt:lpstr>Raw_Web_Data!ExternalData_28</vt:lpstr>
      <vt:lpstr>Raw_Web_Data!ExternalData_29</vt:lpstr>
      <vt:lpstr>Raw_Web_Data!ExternalData_3</vt:lpstr>
      <vt:lpstr>Raw_Web_Data!ExternalData_30</vt:lpstr>
      <vt:lpstr>Raw_Web_Data!ExternalData_31</vt:lpstr>
      <vt:lpstr>Raw_Web_Data!ExternalData_32</vt:lpstr>
      <vt:lpstr>Raw_Web_Data!ExternalData_33</vt:lpstr>
      <vt:lpstr>Raw_Web_Data!ExternalData_34</vt:lpstr>
      <vt:lpstr>Raw_Web_Data!ExternalData_4</vt:lpstr>
      <vt:lpstr>Raw_Web_Data!ExternalData_5</vt:lpstr>
      <vt:lpstr>Raw_Web_Data!ExternalData_6</vt:lpstr>
      <vt:lpstr>Raw_Web_Data!ExternalData_7</vt:lpstr>
      <vt:lpstr>Raw_Web_Data!ExternalData_8</vt:lpstr>
      <vt:lpstr>Raw_Web_Data!ExternalData_9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 Quenum</dc:creator>
  <cp:lastModifiedBy>Alfred Quenum</cp:lastModifiedBy>
  <cp:lastPrinted>2026-03-13T00:15:52Z</cp:lastPrinted>
  <dcterms:created xsi:type="dcterms:W3CDTF">2026-03-12T23:21:16Z</dcterms:created>
  <dcterms:modified xsi:type="dcterms:W3CDTF">2026-03-15T01:02:09Z</dcterms:modified>
</cp:coreProperties>
</file>